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ariable_Matrix" sheetId="2" state="visible" r:id="rId2"/>
    <sheet xmlns:r="http://schemas.openxmlformats.org/officeDocument/2006/relationships" name="Journal" sheetId="3" state="visible" r:id="rId3"/>
    <sheet xmlns:r="http://schemas.openxmlformats.org/officeDocument/2006/relationships" name="General_Ledger" sheetId="4" state="visible" r:id="rId4"/>
    <sheet xmlns:r="http://schemas.openxmlformats.org/officeDocument/2006/relationships" name="Trial_Balance" sheetId="5" state="visible" r:id="rId5"/>
    <sheet xmlns:r="http://schemas.openxmlformats.org/officeDocument/2006/relationships" name="Inventory_Module" sheetId="6" state="visible" r:id="rId6"/>
    <sheet xmlns:r="http://schemas.openxmlformats.org/officeDocument/2006/relationships" name="PPE_Module" sheetId="7" state="visible" r:id="rId7"/>
    <sheet xmlns:r="http://schemas.openxmlformats.org/officeDocument/2006/relationships" name="Lease_Module" sheetId="8" state="visible" r:id="rId8"/>
    <sheet xmlns:r="http://schemas.openxmlformats.org/officeDocument/2006/relationships" name="Equity_Module" sheetId="9" state="visible" r:id="rId9"/>
    <sheet xmlns:r="http://schemas.openxmlformats.org/officeDocument/2006/relationships" name="Profit_Loss" sheetId="10" state="visible" r:id="rId10"/>
    <sheet xmlns:r="http://schemas.openxmlformats.org/officeDocument/2006/relationships" name="SOFP" sheetId="11" state="visible" r:id="rId11"/>
    <sheet xmlns:r="http://schemas.openxmlformats.org/officeDocument/2006/relationships" name="Cash_Flow" sheetId="12" state="visible" r:id="rId12"/>
    <sheet xmlns:r="http://schemas.openxmlformats.org/officeDocument/2006/relationships" name="Notes_Disclosures" sheetId="13" state="visible" r:id="rId13"/>
    <sheet xmlns:r="http://schemas.openxmlformats.org/officeDocument/2006/relationships" name="AI_Log" sheetId="14" state="visible" r:id="rId14"/>
    <sheet xmlns:r="http://schemas.openxmlformats.org/officeDocument/2006/relationships" name="Input_Form" sheetId="15" state="visible" r:id="rId15"/>
  </sheets>
  <definedNames/>
  <calcPr calcId="124519" fullCalcOnLoad="1"/>
</workbook>
</file>

<file path=xl/styles.xml><?xml version="1.0" encoding="utf-8"?>
<styleSheet xmlns="http://schemas.openxmlformats.org/spreadsheetml/2006/main">
  <numFmts count="2">
    <numFmt numFmtId="164" formatCode="0.00x"/>
    <numFmt numFmtId="165" formatCode="0.0%"/>
  </numFmts>
  <fonts count="33">
    <font>
      <name val="Calibri"/>
      <family val="2"/>
      <color theme="1"/>
      <sz val="11"/>
      <scheme val="minor"/>
    </font>
    <font>
      <name val="Calibri"/>
      <b val="1"/>
      <color rgb="00FFFFFF"/>
      <sz val="14"/>
    </font>
    <font>
      <name val="Calibri"/>
      <b val="1"/>
      <color rgb="00FFFFFF"/>
      <sz val="10"/>
    </font>
    <font>
      <name val="Calibri"/>
      <sz val="10"/>
    </font>
    <font>
      <name val="Calibri"/>
      <b val="1"/>
      <color rgb="001B4F72"/>
      <sz val="10"/>
    </font>
    <font>
      <name val="Calibri"/>
      <color rgb="000000FF"/>
      <sz val="10"/>
    </font>
    <font>
      <name val="Calibri"/>
      <i val="1"/>
      <color rgb="007F8C8D"/>
      <sz val="9"/>
    </font>
    <font>
      <name val="Calibri"/>
      <color rgb="00008000"/>
      <sz val="10"/>
    </font>
    <font>
      <name val="Calibri"/>
      <b val="1"/>
      <color rgb="00FFFFFF"/>
      <sz val="12"/>
    </font>
    <font>
      <name val="Calibri"/>
      <sz val="9"/>
    </font>
    <font>
      <name val="Calibri"/>
      <b val="1"/>
      <color rgb="00C0392B"/>
      <sz val="9"/>
    </font>
    <font>
      <name val="Calibri"/>
      <color rgb="00008000"/>
      <sz val="9"/>
    </font>
    <font>
      <name val="Calibri"/>
      <b val="1"/>
      <color rgb="001E8449"/>
      <sz val="9"/>
    </font>
    <font>
      <name val="Calibri"/>
      <b val="1"/>
    </font>
    <font>
      <name val="Calibri"/>
      <b val="1"/>
      <color rgb="001E8449"/>
    </font>
    <font>
      <name val="Calibri"/>
      <b val="1"/>
      <color rgb="00FFFFFF"/>
      <sz val="13"/>
    </font>
    <font>
      <name val="Calibri"/>
      <b val="1"/>
      <sz val="9"/>
    </font>
    <font>
      <name val="Calibri"/>
      <b val="1"/>
      <color rgb="00FFFFFF"/>
      <sz val="11"/>
    </font>
    <font>
      <name val="Calibri"/>
      <b val="1"/>
      <sz val="10"/>
    </font>
    <font>
      <name val="Calibri"/>
      <b val="1"/>
      <color rgb="00008000"/>
    </font>
    <font>
      <name val="Calibri"/>
      <color rgb="00000000"/>
      <sz val="10"/>
    </font>
    <font>
      <name val="Calibri"/>
      <b val="1"/>
      <color rgb="00008000"/>
      <sz val="10"/>
    </font>
    <font>
      <name val="Calibri"/>
      <b val="1"/>
      <color rgb="00000000"/>
      <sz val="10"/>
    </font>
    <font>
      <name val="Calibri"/>
      <i val="1"/>
      <color rgb="007F8C8D"/>
      <sz val="8"/>
    </font>
    <font>
      <name val="Calibri"/>
      <b val="1"/>
      <color rgb="000D1B2A"/>
      <sz val="10"/>
    </font>
    <font>
      <name val="Calibri"/>
      <b val="1"/>
      <color rgb="001E8449"/>
      <sz val="11"/>
    </font>
    <font>
      <name val="Calibri"/>
      <b val="1"/>
      <color rgb="00FFFFFF"/>
      <sz val="20"/>
    </font>
    <font>
      <name val="Calibri"/>
      <i val="1"/>
      <color rgb="00FFFFFF"/>
      <sz val="9"/>
    </font>
    <font>
      <name val="Calibri"/>
      <b val="1"/>
      <color rgb="00FFFFFF"/>
      <sz val="9"/>
    </font>
    <font>
      <name val="Calibri"/>
      <b val="1"/>
      <color rgb="00FFFFFF"/>
      <sz val="15"/>
    </font>
    <font>
      <name val="Calibri"/>
      <i val="1"/>
      <color rgb="00FFFFFF"/>
      <sz val="8"/>
    </font>
    <font>
      <name val="Calibri"/>
      <b val="1"/>
      <i val="1"/>
      <color rgb="00FFFFFF"/>
      <sz val="9"/>
    </font>
    <font>
      <name val="Calibri"/>
      <b val="1"/>
      <color rgb="00FFFFFF"/>
      <sz val="8"/>
    </font>
  </fonts>
  <fills count="13">
    <fill>
      <patternFill/>
    </fill>
    <fill>
      <patternFill patternType="gray125"/>
    </fill>
    <fill>
      <patternFill patternType="solid">
        <fgColor rgb="000D1B2A"/>
      </patternFill>
    </fill>
    <fill>
      <patternFill patternType="solid">
        <fgColor rgb="001B4F72"/>
      </patternFill>
    </fill>
    <fill>
      <patternFill patternType="solid">
        <fgColor rgb="00F2F3F4"/>
      </patternFill>
    </fill>
    <fill>
      <patternFill patternType="solid">
        <fgColor rgb="00F39C12"/>
      </patternFill>
    </fill>
    <fill>
      <patternFill patternType="solid">
        <fgColor rgb="00C0392B"/>
      </patternFill>
    </fill>
    <fill>
      <patternFill patternType="solid">
        <fgColor rgb="002E86C1"/>
      </patternFill>
    </fill>
    <fill>
      <patternFill patternType="solid">
        <fgColor rgb="00D6EAF8"/>
      </patternFill>
    </fill>
    <fill>
      <patternFill patternType="solid">
        <fgColor rgb="00FFFDE7"/>
      </patternFill>
    </fill>
    <fill>
      <patternFill patternType="solid">
        <fgColor rgb="001E8449"/>
      </patternFill>
    </fill>
    <fill>
      <patternFill patternType="solid">
        <fgColor rgb="007F8C8D"/>
      </patternFill>
    </fill>
    <fill>
      <patternFill patternType="solid">
        <fgColor rgb="0016A085"/>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22">
    <xf numFmtId="0" fontId="0" fillId="0" borderId="0" pivotButton="0" quotePrefix="0" xfId="0"/>
    <xf numFmtId="0" fontId="26" fillId="2" borderId="0" applyAlignment="1" pivotButton="0" quotePrefix="0" xfId="0">
      <alignment horizontal="center" vertical="center"/>
    </xf>
    <xf numFmtId="0" fontId="27" fillId="3" borderId="0" applyAlignment="1" pivotButton="0" quotePrefix="0" xfId="0">
      <alignment horizontal="center" vertical="center"/>
    </xf>
    <xf numFmtId="0" fontId="17" fillId="10" borderId="0" applyAlignment="1" pivotButton="0" quotePrefix="0" xfId="0">
      <alignment horizontal="center" vertical="center"/>
    </xf>
    <xf numFmtId="0" fontId="2" fillId="7" borderId="0" applyAlignment="1" pivotButton="0" quotePrefix="0" xfId="0">
      <alignment horizontal="center" vertical="center"/>
    </xf>
    <xf numFmtId="0" fontId="28" fillId="10" borderId="0" applyAlignment="1" pivotButton="0" quotePrefix="0" xfId="0">
      <alignment horizontal="center" vertical="center"/>
    </xf>
    <xf numFmtId="0" fontId="28" fillId="7" borderId="0" applyAlignment="1" pivotButton="0" quotePrefix="0" xfId="0">
      <alignment horizontal="center" vertical="center"/>
    </xf>
    <xf numFmtId="0" fontId="28" fillId="3" borderId="0" applyAlignment="1" pivotButton="0" quotePrefix="0" xfId="0">
      <alignment horizontal="center" vertical="center"/>
    </xf>
    <xf numFmtId="0" fontId="28" fillId="2" borderId="0" applyAlignment="1" pivotButton="0" quotePrefix="0" xfId="0">
      <alignment horizontal="center" vertical="center"/>
    </xf>
    <xf numFmtId="0" fontId="28" fillId="5" borderId="0" applyAlignment="1" pivotButton="0" quotePrefix="0" xfId="0">
      <alignment horizontal="center" vertical="center"/>
    </xf>
    <xf numFmtId="0" fontId="28" fillId="6" borderId="0" applyAlignment="1" pivotButton="0" quotePrefix="0" xfId="0">
      <alignment horizontal="center" vertical="center"/>
    </xf>
    <xf numFmtId="0" fontId="28" fillId="11" borderId="0" applyAlignment="1" pivotButton="0" quotePrefix="0" xfId="0">
      <alignment horizontal="center" vertical="center"/>
    </xf>
    <xf numFmtId="3" fontId="29" fillId="10" borderId="0" applyAlignment="1" pivotButton="0" quotePrefix="0" xfId="0">
      <alignment horizontal="center" vertical="center"/>
    </xf>
    <xf numFmtId="3" fontId="29" fillId="7" borderId="0" applyAlignment="1" pivotButton="0" quotePrefix="0" xfId="0">
      <alignment horizontal="center" vertical="center"/>
    </xf>
    <xf numFmtId="3" fontId="29" fillId="3" borderId="0" applyAlignment="1" pivotButton="0" quotePrefix="0" xfId="0">
      <alignment horizontal="center" vertical="center"/>
    </xf>
    <xf numFmtId="3" fontId="29" fillId="2" borderId="0" applyAlignment="1" pivotButton="0" quotePrefix="0" xfId="0">
      <alignment horizontal="center" vertical="center"/>
    </xf>
    <xf numFmtId="3" fontId="29" fillId="5" borderId="0" applyAlignment="1" pivotButton="0" quotePrefix="0" xfId="0">
      <alignment horizontal="center" vertical="center"/>
    </xf>
    <xf numFmtId="164" fontId="29" fillId="6" borderId="0" applyAlignment="1" pivotButton="0" quotePrefix="0" xfId="0">
      <alignment horizontal="center" vertical="center"/>
    </xf>
    <xf numFmtId="165" fontId="29" fillId="11" borderId="0" applyAlignment="1" pivotButton="0" quotePrefix="0" xfId="0">
      <alignment horizontal="center" vertical="center"/>
    </xf>
    <xf numFmtId="0" fontId="30" fillId="10" borderId="0" applyAlignment="1" pivotButton="0" quotePrefix="0" xfId="0">
      <alignment horizontal="center" vertical="center"/>
    </xf>
    <xf numFmtId="0" fontId="30" fillId="7" borderId="0" applyAlignment="1" pivotButton="0" quotePrefix="0" xfId="0">
      <alignment horizontal="center" vertical="center"/>
    </xf>
    <xf numFmtId="0" fontId="30" fillId="3" borderId="0" applyAlignment="1" pivotButton="0" quotePrefix="0" xfId="0">
      <alignment horizontal="center" vertical="center"/>
    </xf>
    <xf numFmtId="0" fontId="30" fillId="2" borderId="0" applyAlignment="1" pivotButton="0" quotePrefix="0" xfId="0">
      <alignment horizontal="center" vertical="center"/>
    </xf>
    <xf numFmtId="0" fontId="30" fillId="5" borderId="0" applyAlignment="1" pivotButton="0" quotePrefix="0" xfId="0">
      <alignment horizontal="center" vertical="center"/>
    </xf>
    <xf numFmtId="0" fontId="30" fillId="6" borderId="0" applyAlignment="1" pivotButton="0" quotePrefix="0" xfId="0">
      <alignment horizontal="center" vertical="center"/>
    </xf>
    <xf numFmtId="0" fontId="30" fillId="11"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3" fontId="7" fillId="4" borderId="1" applyAlignment="1" pivotButton="0" quotePrefix="0" xfId="0">
      <alignment horizontal="right" vertical="center"/>
    </xf>
    <xf numFmtId="0" fontId="3" fillId="0" borderId="1" applyAlignment="1" pivotButton="0" quotePrefix="0" xfId="0">
      <alignment horizontal="left" vertical="center"/>
    </xf>
    <xf numFmtId="3" fontId="7" fillId="0" borderId="1" applyAlignment="1" pivotButton="0" quotePrefix="0" xfId="0">
      <alignment horizontal="right" vertical="center"/>
    </xf>
    <xf numFmtId="0" fontId="18" fillId="4" borderId="1" applyAlignment="1" pivotButton="0" quotePrefix="0" xfId="0">
      <alignment horizontal="left" vertical="center"/>
    </xf>
    <xf numFmtId="0" fontId="18" fillId="0" borderId="1" applyAlignment="1" pivotButton="0" quotePrefix="0" xfId="0">
      <alignment horizontal="left" vertical="center"/>
    </xf>
    <xf numFmtId="0" fontId="31" fillId="11" borderId="0" applyAlignment="1" pivotButton="0" quotePrefix="0" xfId="0">
      <alignment horizontal="center" vertical="center"/>
    </xf>
    <xf numFmtId="0" fontId="32" fillId="6" borderId="0" applyAlignment="1" pivotButton="0" quotePrefix="0" xfId="0">
      <alignment horizontal="center" vertical="center" wrapText="1"/>
    </xf>
    <xf numFmtId="0" fontId="32" fillId="10" borderId="0" applyAlignment="1" pivotButton="0" quotePrefix="0" xfId="0">
      <alignment horizontal="center" vertical="center" wrapText="1"/>
    </xf>
    <xf numFmtId="0" fontId="32" fillId="5" borderId="0" applyAlignment="1" pivotButton="0" quotePrefix="0" xfId="0">
      <alignment horizontal="center" vertical="center" wrapText="1"/>
    </xf>
    <xf numFmtId="0" fontId="32" fillId="7" borderId="0" applyAlignment="1" pivotButton="0" quotePrefix="0" xfId="0">
      <alignment horizontal="center" vertical="center" wrapText="1"/>
    </xf>
    <xf numFmtId="0" fontId="32" fillId="3" borderId="0" applyAlignment="1" pivotButton="0" quotePrefix="0" xfId="0">
      <alignment horizontal="center" vertical="center" wrapText="1"/>
    </xf>
    <xf numFmtId="0" fontId="32" fillId="12" borderId="0" applyAlignment="1" pivotButton="0" quotePrefix="0" xfId="0">
      <alignment horizontal="center" vertical="center" wrapText="1"/>
    </xf>
    <xf numFmtId="0" fontId="32" fillId="2" borderId="0" applyAlignment="1" pivotButton="0" quotePrefix="0" xfId="0">
      <alignment horizontal="center" vertical="center" wrapText="1"/>
    </xf>
    <xf numFmtId="0" fontId="32" fillId="11" borderId="0" applyAlignment="1" pivotButton="0" quotePrefix="0" xfId="0">
      <alignment horizontal="center" vertical="center" wrapText="1"/>
    </xf>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pivotButton="0" quotePrefix="0" xfId="0"/>
    <xf numFmtId="0" fontId="4" fillId="4" borderId="1" pivotButton="0" quotePrefix="0" xfId="0"/>
    <xf numFmtId="3" fontId="5" fillId="4" borderId="1" pivotButton="0" quotePrefix="0" xfId="0"/>
    <xf numFmtId="0" fontId="6" fillId="4" borderId="1" pivotButton="0" quotePrefix="0" xfId="0"/>
    <xf numFmtId="0" fontId="3" fillId="0" borderId="1" pivotButton="0" quotePrefix="0" xfId="0"/>
    <xf numFmtId="0" fontId="4" fillId="0" borderId="1" pivotButton="0" quotePrefix="0" xfId="0"/>
    <xf numFmtId="3" fontId="5" fillId="0" borderId="1" pivotButton="0" quotePrefix="0" xfId="0"/>
    <xf numFmtId="0" fontId="6" fillId="0" borderId="1" pivotButton="0" quotePrefix="0" xfId="0"/>
    <xf numFmtId="10" fontId="5" fillId="4" borderId="1" pivotButton="0" quotePrefix="0" xfId="0"/>
    <xf numFmtId="3" fontId="7" fillId="4" borderId="1" pivotButton="0" quotePrefix="0" xfId="0"/>
    <xf numFmtId="0" fontId="8" fillId="2" borderId="0" applyAlignment="1" pivotButton="0" quotePrefix="0" xfId="0">
      <alignment horizontal="center" vertical="center"/>
    </xf>
    <xf numFmtId="0" fontId="9" fillId="4" borderId="1" applyAlignment="1" pivotButton="0" quotePrefix="0" xfId="0">
      <alignment horizontal="left" vertical="center"/>
    </xf>
    <xf numFmtId="0" fontId="10" fillId="4" borderId="1" applyAlignment="1" pivotButton="0" quotePrefix="0" xfId="0">
      <alignment horizontal="center" vertical="center"/>
    </xf>
    <xf numFmtId="3" fontId="11" fillId="4" borderId="1" applyAlignment="1" pivotButton="0" quotePrefix="0" xfId="0">
      <alignment horizontal="right" vertical="center"/>
    </xf>
    <xf numFmtId="0" fontId="9" fillId="4" borderId="1" applyAlignment="1" pivotButton="0" quotePrefix="0" xfId="0">
      <alignment horizontal="center" vertical="center"/>
    </xf>
    <xf numFmtId="0" fontId="9" fillId="0" borderId="1" applyAlignment="1" pivotButton="0" quotePrefix="0" xfId="0">
      <alignment horizontal="left" vertical="center"/>
    </xf>
    <xf numFmtId="0" fontId="12" fillId="0" borderId="1" applyAlignment="1" pivotButton="0" quotePrefix="0" xfId="0">
      <alignment horizontal="center" vertical="center"/>
    </xf>
    <xf numFmtId="3" fontId="11" fillId="0" borderId="1" applyAlignment="1" pivotButton="0" quotePrefix="0" xfId="0">
      <alignment horizontal="right" vertical="center"/>
    </xf>
    <xf numFmtId="0" fontId="9" fillId="0" borderId="1" applyAlignment="1" pivotButton="0" quotePrefix="0" xfId="0">
      <alignment horizontal="center" vertical="center"/>
    </xf>
    <xf numFmtId="0" fontId="12" fillId="4" borderId="1" applyAlignment="1" pivotButton="0" quotePrefix="0" xfId="0">
      <alignment horizontal="center" vertical="center"/>
    </xf>
    <xf numFmtId="0" fontId="10" fillId="0" borderId="1" applyAlignment="1" pivotButton="0" quotePrefix="0" xfId="0">
      <alignment horizontal="center" vertical="center"/>
    </xf>
    <xf numFmtId="3" fontId="9" fillId="0" borderId="1" applyAlignment="1" pivotButton="0" quotePrefix="0" xfId="0">
      <alignment horizontal="right" vertical="center"/>
    </xf>
    <xf numFmtId="3" fontId="9" fillId="4" borderId="1" applyAlignment="1" pivotButton="0" quotePrefix="0" xfId="0">
      <alignment horizontal="right" vertical="center"/>
    </xf>
    <xf numFmtId="0" fontId="13" fillId="0" borderId="0" pivotButton="0" quotePrefix="0" xfId="0"/>
    <xf numFmtId="3" fontId="13" fillId="5" borderId="0" pivotButton="0" quotePrefix="0" xfId="0"/>
    <xf numFmtId="0" fontId="14" fillId="0" borderId="0" pivotButton="0" quotePrefix="0" xfId="0"/>
    <xf numFmtId="0" fontId="15" fillId="2" borderId="0" applyAlignment="1" pivotButton="0" quotePrefix="0" xfId="0">
      <alignment horizontal="center" vertical="center"/>
    </xf>
    <xf numFmtId="0" fontId="16" fillId="4" borderId="1" applyAlignment="1" pivotButton="0" quotePrefix="0" xfId="0">
      <alignment horizontal="left" vertical="center"/>
    </xf>
    <xf numFmtId="0" fontId="9" fillId="4" borderId="1" applyAlignment="1" pivotButton="0" quotePrefix="0" xfId="0">
      <alignment horizontal="right" vertical="center"/>
    </xf>
    <xf numFmtId="0" fontId="16" fillId="0" borderId="1" applyAlignment="1" pivotButton="0" quotePrefix="0" xfId="0">
      <alignment horizontal="left" vertical="center"/>
    </xf>
    <xf numFmtId="0" fontId="9" fillId="0" borderId="1" applyAlignment="1" pivotButton="0" quotePrefix="0" xfId="0">
      <alignment horizontal="right" vertical="center"/>
    </xf>
    <xf numFmtId="0" fontId="2" fillId="5" borderId="1" applyAlignment="1" pivotButton="0" quotePrefix="0" xfId="0">
      <alignment horizontal="center" vertical="center"/>
    </xf>
    <xf numFmtId="3" fontId="13" fillId="5"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right" vertical="center"/>
    </xf>
    <xf numFmtId="3" fontId="5" fillId="0" borderId="1" applyAlignment="1" pivotButton="0" quotePrefix="0" xfId="0">
      <alignment horizontal="right" vertical="center"/>
    </xf>
    <xf numFmtId="0" fontId="7" fillId="0" borderId="1" applyAlignment="1" pivotButton="0" quotePrefix="0" xfId="0">
      <alignment horizontal="right" vertical="center"/>
    </xf>
    <xf numFmtId="0" fontId="17" fillId="6" borderId="0" applyAlignment="1" pivotButton="0" quotePrefix="0" xfId="0">
      <alignment horizontal="center" vertical="center"/>
    </xf>
    <xf numFmtId="0" fontId="18" fillId="0" borderId="0" pivotButton="0" quotePrefix="0" xfId="0"/>
    <xf numFmtId="3" fontId="7" fillId="0" borderId="0" pivotButton="0" quotePrefix="0" xfId="0"/>
    <xf numFmtId="3" fontId="5" fillId="0" borderId="0" pivotButton="0" quotePrefix="0" xfId="0"/>
    <xf numFmtId="0" fontId="6" fillId="0" borderId="0" pivotButton="0" quotePrefix="0" xfId="0"/>
    <xf numFmtId="3" fontId="0" fillId="0" borderId="0" pivotButton="0" quotePrefix="0" xfId="0"/>
    <xf numFmtId="3" fontId="3" fillId="0" borderId="1" applyAlignment="1" pivotButton="0" quotePrefix="0" xfId="0">
      <alignment horizontal="right" vertical="center"/>
    </xf>
    <xf numFmtId="0" fontId="3" fillId="0" borderId="1" applyAlignment="1" pivotButton="0" quotePrefix="0" xfId="0">
      <alignment horizontal="right" vertical="center"/>
    </xf>
    <xf numFmtId="3" fontId="19" fillId="0" borderId="0" pivotButton="0" quotePrefix="0" xfId="0"/>
    <xf numFmtId="0" fontId="17" fillId="3" borderId="0" applyAlignment="1" pivotButton="0" quotePrefix="0" xfId="0">
      <alignment horizontal="center" vertical="center"/>
    </xf>
    <xf numFmtId="0" fontId="2" fillId="7" borderId="1" applyAlignment="1" pivotButton="0" quotePrefix="0" xfId="0">
      <alignment horizontal="center" vertical="center"/>
    </xf>
    <xf numFmtId="0" fontId="20" fillId="0" borderId="1" pivotButton="0" quotePrefix="0" xfId="0"/>
    <xf numFmtId="3" fontId="7" fillId="0" borderId="1" pivotButton="0" quotePrefix="0" xfId="0"/>
    <xf numFmtId="3" fontId="20" fillId="0" borderId="1" pivotButton="0" quotePrefix="0" xfId="0"/>
    <xf numFmtId="0" fontId="20" fillId="4" borderId="1" pivotButton="0" quotePrefix="0" xfId="0"/>
    <xf numFmtId="3" fontId="20" fillId="4" borderId="1" pivotButton="0" quotePrefix="0" xfId="0"/>
    <xf numFmtId="10" fontId="7" fillId="0" borderId="0" pivotButton="0" quotePrefix="0" xfId="0"/>
    <xf numFmtId="3" fontId="21" fillId="0" borderId="0" pivotButton="0" quotePrefix="0" xfId="0"/>
    <xf numFmtId="1" fontId="20" fillId="0" borderId="1" applyAlignment="1" pivotButton="0" quotePrefix="0" xfId="0">
      <alignment horizontal="center" vertical="center"/>
    </xf>
    <xf numFmtId="1" fontId="20" fillId="4" borderId="1" applyAlignment="1" pivotButton="0" quotePrefix="0" xfId="0">
      <alignment horizontal="center" vertical="center"/>
    </xf>
    <xf numFmtId="3" fontId="22" fillId="0" borderId="1" applyAlignment="1" pivotButton="0" quotePrefix="0" xfId="0">
      <alignment horizontal="left" vertical="center"/>
    </xf>
    <xf numFmtId="3" fontId="22" fillId="0" borderId="1" applyAlignment="1" pivotButton="0" quotePrefix="0" xfId="0">
      <alignment horizontal="right" vertical="center"/>
    </xf>
    <xf numFmtId="3" fontId="18" fillId="0" borderId="1" applyAlignment="1" pivotButton="0" quotePrefix="0" xfId="0">
      <alignment horizontal="right" vertical="center"/>
    </xf>
    <xf numFmtId="3" fontId="20" fillId="0" borderId="1" applyAlignment="1" pivotButton="0" quotePrefix="0" xfId="0">
      <alignment horizontal="left" vertical="center"/>
    </xf>
    <xf numFmtId="3" fontId="20" fillId="0" borderId="1" applyAlignment="1" pivotButton="0" quotePrefix="0" xfId="0">
      <alignment horizontal="right" vertical="center"/>
    </xf>
    <xf numFmtId="3" fontId="22" fillId="8" borderId="1" applyAlignment="1" pivotButton="0" quotePrefix="0" xfId="0">
      <alignment horizontal="left" vertical="center"/>
    </xf>
    <xf numFmtId="3" fontId="21" fillId="8" borderId="1" applyAlignment="1" pivotButton="0" quotePrefix="0" xfId="0">
      <alignment horizontal="right" vertical="center"/>
    </xf>
    <xf numFmtId="3" fontId="18" fillId="8" borderId="1" applyAlignment="1" pivotButton="0" quotePrefix="0" xfId="0">
      <alignment horizontal="right" vertical="center"/>
    </xf>
    <xf numFmtId="0" fontId="2" fillId="3" borderId="0" pivotButton="0" quotePrefix="0" xfId="0"/>
    <xf numFmtId="0" fontId="23" fillId="0" borderId="1" pivotButton="0" quotePrefix="0" xfId="0"/>
    <xf numFmtId="0" fontId="24" fillId="8" borderId="1" pivotButton="0" quotePrefix="0" xfId="0"/>
    <xf numFmtId="0" fontId="25" fillId="4" borderId="1" pivotButton="0" quotePrefix="0" xfId="0"/>
    <xf numFmtId="0" fontId="25" fillId="0" borderId="0" pivotButton="0" quotePrefix="0" xfId="0"/>
    <xf numFmtId="0" fontId="2" fillId="3" borderId="0" applyAlignment="1" pivotButton="0" quotePrefix="0" xfId="0">
      <alignment horizontal="left" vertical="center" wrapText="1"/>
    </xf>
    <xf numFmtId="0" fontId="20" fillId="0" borderId="0" applyAlignment="1" pivotButton="0" quotePrefix="0" xfId="0">
      <alignment horizontal="left" vertical="center" wrapText="1"/>
    </xf>
    <xf numFmtId="0" fontId="9" fillId="4" borderId="1" applyAlignment="1" pivotButton="0" quotePrefix="0" xfId="0">
      <alignment horizontal="left" vertical="center" wrapText="1"/>
    </xf>
    <xf numFmtId="0" fontId="9" fillId="0" borderId="1" applyAlignment="1" pivotButton="0" quotePrefix="0" xfId="0">
      <alignment horizontal="left" vertical="center" wrapText="1"/>
    </xf>
    <xf numFmtId="0" fontId="6" fillId="0" borderId="0" applyAlignment="1" pivotButton="0" quotePrefix="0" xfId="0">
      <alignment vertical="center" wrapText="1"/>
    </xf>
    <xf numFmtId="0" fontId="18" fillId="8" borderId="0" pivotButton="0" quotePrefix="0" xfId="0"/>
    <xf numFmtId="0" fontId="5" fillId="9" borderId="1" pivotButton="0" quotePrefix="0" xfId="0"/>
    <xf numFmtId="3" fontId="5"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B2A"/>
    <outlinePr summaryBelow="1" summaryRight="1"/>
    <pageSetUpPr/>
  </sheetPr>
  <dimension ref="A1:N25"/>
  <sheetViews>
    <sheetView showGridLines="0" showRowColHeader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48" customHeight="1">
      <c r="A1" s="1" t="inlineStr">
        <is>
          <t>GROUP 8  |  IFRS FINANCIAL ACCOUNTING ENGINE  |  FY 2024</t>
        </is>
      </c>
    </row>
    <row r="2" ht="20" customHeight="1"/>
    <row r="3" ht="8" customHeight="1"/>
    <row r="4" ht="18" customHeight="1">
      <c r="A4" s="2" t="inlineStr">
        <is>
          <t>Live Dashboard  ●  IAS 1  ●  IAS 2  ●  IAS 7  ●  IAS 16  ●  IAS 36  ●  IAS 38  ●  IFRS 16  ●  All values auto-update from Journal</t>
        </is>
      </c>
    </row>
    <row r="5" ht="24" customHeight="1">
      <c r="A5" s="3">
        <f>IF(ABS(SOFP!C26-(SOFP!C33+SOFP!C48))&lt;1,"✔  ACCOUNTING EQUATION BALANCED  |  Assets = Equity + Liabilities","✘  EQUATION ERROR — Check Journal Entries")</f>
        <v/>
      </c>
    </row>
    <row r="6" ht="20" customHeight="1">
      <c r="A6" s="4" t="inlineStr">
        <is>
          <t>KEY PERFORMANCE INDICATORS</t>
        </is>
      </c>
    </row>
    <row r="7" ht="22" customHeight="1">
      <c r="A7" s="5" t="inlineStr">
        <is>
          <t>💵  Cash Balance</t>
        </is>
      </c>
      <c r="C7" s="6" t="inlineStr">
        <is>
          <t>📈  Net Revenue</t>
        </is>
      </c>
      <c r="E7" s="7" t="inlineStr">
        <is>
          <t>💰  Net Profit</t>
        </is>
      </c>
      <c r="G7" s="8" t="inlineStr">
        <is>
          <t>🏦  Total Assets</t>
        </is>
      </c>
      <c r="I7" s="9" t="inlineStr">
        <is>
          <t>📊  Total Equity</t>
        </is>
      </c>
      <c r="K7" s="10" t="inlineStr">
        <is>
          <t>⚖️  Current Ratio</t>
        </is>
      </c>
      <c r="M7" s="11" t="inlineStr">
        <is>
          <t>📉  Debt-to-Assets</t>
        </is>
      </c>
    </row>
    <row r="8" ht="34" customHeight="1">
      <c r="A8" s="12">
        <f>General_Ledger!F3</f>
        <v/>
      </c>
      <c r="C8" s="13">
        <f>SOFP!C26</f>
        <v/>
      </c>
      <c r="E8" s="14">
        <f>Profit_Loss!C35</f>
        <v/>
      </c>
      <c r="G8" s="15">
        <f>SOFP!C26</f>
        <v/>
      </c>
      <c r="I8" s="16">
        <f>SOFP!C33</f>
        <v/>
      </c>
      <c r="K8" s="17">
        <f>IFERROR(SOFP!C24/SOFP!C46,0)</f>
        <v/>
      </c>
      <c r="M8" s="18">
        <f>IFERROR((SOFP!C39+SOFP!C46)/SOFP!C26,0)</f>
        <v/>
      </c>
    </row>
    <row r="9" ht="16" customHeight="1">
      <c r="A9" s="19" t="inlineStr">
        <is>
          <t>PKR</t>
        </is>
      </c>
      <c r="C9" s="20" t="inlineStr">
        <is>
          <t>PKR</t>
        </is>
      </c>
      <c r="E9" s="21" t="inlineStr">
        <is>
          <t>PKR</t>
        </is>
      </c>
      <c r="G9" s="22" t="inlineStr">
        <is>
          <t>PKR</t>
        </is>
      </c>
      <c r="I9" s="23" t="inlineStr">
        <is>
          <t>PKR</t>
        </is>
      </c>
      <c r="K9" s="24" t="inlineStr">
        <is>
          <t>x</t>
        </is>
      </c>
      <c r="M9" s="25" t="inlineStr">
        <is>
          <t>%</t>
        </is>
      </c>
    </row>
    <row r="10" ht="10" customHeight="1"/>
    <row r="11" ht="20" customHeight="1">
      <c r="A11" s="4" t="inlineStr">
        <is>
          <t>FINANCIAL STATEMENTS SUMMARY</t>
        </is>
      </c>
    </row>
    <row r="12" ht="20" customHeight="1">
      <c r="A12" s="26" t="inlineStr">
        <is>
          <t>PROFIT &amp; LOSS</t>
        </is>
      </c>
      <c r="H12" s="26" t="inlineStr">
        <is>
          <t>FINANCIAL POSITION</t>
        </is>
      </c>
    </row>
    <row r="13" ht="18" customHeight="1">
      <c r="A13" s="27" t="inlineStr">
        <is>
          <t>Gross Revenue</t>
        </is>
      </c>
      <c r="E13" s="28">
        <f>Profit_Loss!C5+Profit_Loss!C6</f>
        <v/>
      </c>
      <c r="H13" s="27" t="inlineStr">
        <is>
          <t>Total Non-Current Assets</t>
        </is>
      </c>
      <c r="K13" s="28">
        <f>SOFP!C17</f>
        <v/>
      </c>
    </row>
    <row r="14" ht="18" customHeight="1">
      <c r="A14" s="29" t="inlineStr">
        <is>
          <t>Net Revenue</t>
        </is>
      </c>
      <c r="E14" s="30">
        <f>Profit_Loss!C7</f>
        <v/>
      </c>
      <c r="H14" s="29" t="inlineStr">
        <is>
          <t>Total Current Assets</t>
        </is>
      </c>
      <c r="K14" s="30">
        <f>SOFP!C24</f>
        <v/>
      </c>
    </row>
    <row r="15" ht="18" customHeight="1">
      <c r="A15" s="27" t="inlineStr">
        <is>
          <t>Total COGS</t>
        </is>
      </c>
      <c r="E15" s="28">
        <f>Profit_Loss!C11</f>
        <v/>
      </c>
      <c r="H15" s="31" t="inlineStr">
        <is>
          <t>TOTAL ASSETS</t>
        </is>
      </c>
      <c r="K15" s="28">
        <f>SOFP!C26</f>
        <v/>
      </c>
    </row>
    <row r="16" ht="18" customHeight="1">
      <c r="A16" s="32" t="inlineStr">
        <is>
          <t>Gross Profit</t>
        </is>
      </c>
      <c r="E16" s="30">
        <f>Profit_Loss!C12</f>
        <v/>
      </c>
      <c r="H16" s="29" t="inlineStr">
        <is>
          <t>Total Equity</t>
        </is>
      </c>
      <c r="K16" s="30">
        <f>SOFP!C33</f>
        <v/>
      </c>
    </row>
    <row r="17" ht="18" customHeight="1">
      <c r="A17" s="27" t="inlineStr">
        <is>
          <t>Total Opex</t>
        </is>
      </c>
      <c r="E17" s="28">
        <f>Profit_Loss!C26</f>
        <v/>
      </c>
      <c r="H17" s="27" t="inlineStr">
        <is>
          <t>Non-Current Liabilities</t>
        </is>
      </c>
      <c r="K17" s="28">
        <f>SOFP!C39</f>
        <v/>
      </c>
    </row>
    <row r="18" ht="18" customHeight="1">
      <c r="A18" s="29" t="inlineStr">
        <is>
          <t>EBIT</t>
        </is>
      </c>
      <c r="E18" s="30">
        <f>Profit_Loss!C28</f>
        <v/>
      </c>
      <c r="H18" s="29" t="inlineStr">
        <is>
          <t>Current Liabilities</t>
        </is>
      </c>
      <c r="K18" s="30">
        <f>SOFP!C46</f>
        <v/>
      </c>
    </row>
    <row r="19" ht="18" customHeight="1">
      <c r="A19" s="31" t="inlineStr">
        <is>
          <t>Net Profit</t>
        </is>
      </c>
      <c r="E19" s="28">
        <f>Profit_Loss!C35</f>
        <v/>
      </c>
      <c r="H19" s="31" t="inlineStr">
        <is>
          <t>TOTAL LIABILITIES</t>
        </is>
      </c>
      <c r="K19" s="28">
        <f>SOFP!C48</f>
        <v/>
      </c>
    </row>
    <row r="20" ht="18" customHeight="1">
      <c r="A20" s="32" t="inlineStr">
        <is>
          <t>Total Comprehensive Inc</t>
        </is>
      </c>
      <c r="E20" s="30">
        <f>Profit_Loss!C39</f>
        <v/>
      </c>
      <c r="H20" s="29" t="inlineStr">
        <is>
          <t>Cash Balance</t>
        </is>
      </c>
      <c r="K20" s="30">
        <f>General_Ledger!F3</f>
        <v/>
      </c>
    </row>
    <row r="22" ht="8" customHeight="1"/>
    <row r="23" ht="20" customHeight="1">
      <c r="A23" s="33" t="inlineStr">
        <is>
          <t>NAVIGATION — Click a sheet tab below | All 15 sheets auto-linked via Journal → GL → All Statements</t>
        </is>
      </c>
    </row>
    <row r="24" ht="28" customHeight="1">
      <c r="A24" s="34" t="inlineStr">
        <is>
          <t>📋 Journal</t>
        </is>
      </c>
      <c r="B24" s="35" t="inlineStr">
        <is>
          <t>📒 Ledger</t>
        </is>
      </c>
      <c r="C24" s="36" t="inlineStr">
        <is>
          <t>⚖️ Trial Bal</t>
        </is>
      </c>
      <c r="D24" s="37" t="inlineStr">
        <is>
          <t>📦 Inventory</t>
        </is>
      </c>
      <c r="E24" s="38" t="inlineStr">
        <is>
          <t>🏗️ PPE</t>
        </is>
      </c>
      <c r="F24" s="39" t="inlineStr">
        <is>
          <t>📑 Lease</t>
        </is>
      </c>
      <c r="G24" s="40" t="inlineStr">
        <is>
          <t>🏛️ Equity</t>
        </is>
      </c>
      <c r="H24" s="35" t="inlineStr">
        <is>
          <t>💰 P&amp;L</t>
        </is>
      </c>
      <c r="I24" s="37" t="inlineStr">
        <is>
          <t>🏦 SOFP</t>
        </is>
      </c>
      <c r="J24" s="36" t="inlineStr">
        <is>
          <t>💸 Cash Flow</t>
        </is>
      </c>
      <c r="K24" s="41" t="inlineStr">
        <is>
          <t>📝 Notes</t>
        </is>
      </c>
      <c r="L24" s="40" t="inlineStr">
        <is>
          <t>🤖 AI Log</t>
        </is>
      </c>
      <c r="M24" s="38" t="inlineStr">
        <is>
          <t>🔧 Variables</t>
        </is>
      </c>
      <c r="N24" s="34" t="inlineStr">
        <is>
          <t>📥 Input Form</t>
        </is>
      </c>
    </row>
    <row r="25" ht="8" customHeight="1"/>
  </sheetData>
  <mergeCells count="75">
    <mergeCell ref="A17:D17"/>
    <mergeCell ref="K14:N14"/>
    <mergeCell ref="E13:G13"/>
    <mergeCell ref="E19:G19"/>
    <mergeCell ref="A24:A25"/>
    <mergeCell ref="K17:N17"/>
    <mergeCell ref="F24:F25"/>
    <mergeCell ref="A20:D20"/>
    <mergeCell ref="K9:L9"/>
    <mergeCell ref="H12:N12"/>
    <mergeCell ref="M9:N9"/>
    <mergeCell ref="A11:N11"/>
    <mergeCell ref="A19:D19"/>
    <mergeCell ref="G8:H8"/>
    <mergeCell ref="H17:J17"/>
    <mergeCell ref="E15:G15"/>
    <mergeCell ref="E8:F8"/>
    <mergeCell ref="A13:D13"/>
    <mergeCell ref="K19:N19"/>
    <mergeCell ref="L24:L25"/>
    <mergeCell ref="H16:J16"/>
    <mergeCell ref="A1:N3"/>
    <mergeCell ref="A6:N6"/>
    <mergeCell ref="K13:N13"/>
    <mergeCell ref="A7:B7"/>
    <mergeCell ref="G7:H7"/>
    <mergeCell ref="K18:N18"/>
    <mergeCell ref="I7:J7"/>
    <mergeCell ref="H13:J13"/>
    <mergeCell ref="H19:J19"/>
    <mergeCell ref="J24:J25"/>
    <mergeCell ref="A15:D15"/>
    <mergeCell ref="K16:N16"/>
    <mergeCell ref="C9:D9"/>
    <mergeCell ref="K15:N15"/>
    <mergeCell ref="G24:G25"/>
    <mergeCell ref="E9:F9"/>
    <mergeCell ref="B24:B25"/>
    <mergeCell ref="I24:I25"/>
    <mergeCell ref="D24:D25"/>
    <mergeCell ref="E16:G16"/>
    <mergeCell ref="H15:J15"/>
    <mergeCell ref="M24:M25"/>
    <mergeCell ref="M7:N7"/>
    <mergeCell ref="H18:J18"/>
    <mergeCell ref="K8:L8"/>
    <mergeCell ref="H14:J14"/>
    <mergeCell ref="K20:N20"/>
    <mergeCell ref="E18:G18"/>
    <mergeCell ref="A16:D16"/>
    <mergeCell ref="I8:J8"/>
    <mergeCell ref="A5:N5"/>
    <mergeCell ref="A23:N23"/>
    <mergeCell ref="A8:B8"/>
    <mergeCell ref="N24:N25"/>
    <mergeCell ref="M8:N8"/>
    <mergeCell ref="C8:D8"/>
    <mergeCell ref="H24:H25"/>
    <mergeCell ref="H20:J20"/>
    <mergeCell ref="K7:L7"/>
    <mergeCell ref="A18:D18"/>
    <mergeCell ref="C7:D7"/>
    <mergeCell ref="E14:G14"/>
    <mergeCell ref="A4:N4"/>
    <mergeCell ref="E7:F7"/>
    <mergeCell ref="A12:G12"/>
    <mergeCell ref="E17:G17"/>
    <mergeCell ref="K24:K25"/>
    <mergeCell ref="C24:C25"/>
    <mergeCell ref="A9:B9"/>
    <mergeCell ref="G9:H9"/>
    <mergeCell ref="E24:E25"/>
    <mergeCell ref="I9:J9"/>
    <mergeCell ref="E20:G20"/>
    <mergeCell ref="A14:D14"/>
  </mergeCells>
  <pageMargins left="0.75" right="0.75" top="1" bottom="1" header="0.5" footer="0.5"/>
</worksheet>
</file>

<file path=xl/worksheets/sheet2.xml><?xml version="1.0" encoding="utf-8"?>
<worksheet xmlns="http://schemas.openxmlformats.org/spreadsheetml/2006/main">
  <sheetPr>
    <tabColor rgb="001B4F72"/>
    <outlinePr summaryBelow="1" summaryRight="1"/>
    <pageSetUpPr/>
  </sheetPr>
  <dimension ref="A1:D17"/>
  <sheetViews>
    <sheetView showGridLines="0" workbookViewId="0">
      <selection activeCell="A1" sqref="A1"/>
    </sheetView>
  </sheetViews>
  <sheetFormatPr baseColWidth="8" defaultRowHeight="15"/>
  <cols>
    <col width="28" customWidth="1" min="1" max="1"/>
    <col width="16" customWidth="1" min="2" max="2"/>
    <col width="18" customWidth="1" min="3" max="3"/>
    <col width="44" customWidth="1" min="4" max="4"/>
  </cols>
  <sheetData>
    <row r="1" ht="30" customHeight="1">
      <c r="A1" s="42" t="inlineStr">
        <is>
          <t>GROUP 8 — VARIABLE MATRIX</t>
        </is>
      </c>
    </row>
    <row r="2" ht="20" customHeight="1">
      <c r="A2" s="43" t="inlineStr">
        <is>
          <t>Variable</t>
        </is>
      </c>
      <c r="B2" s="43" t="inlineStr">
        <is>
          <t>Symbol</t>
        </is>
      </c>
      <c r="C2" s="43" t="inlineStr">
        <is>
          <t>Value (PKR)</t>
        </is>
      </c>
      <c r="D2" s="43" t="inlineStr">
        <is>
          <t>Notes</t>
        </is>
      </c>
    </row>
    <row r="3">
      <c r="A3" s="44" t="inlineStr">
        <is>
          <t>Shares Issued</t>
        </is>
      </c>
      <c r="B3" s="45" t="inlineStr">
        <is>
          <t>SHARES</t>
        </is>
      </c>
      <c r="C3" s="46" t="n">
        <v>550000</v>
      </c>
      <c r="D3" s="47" t="inlineStr">
        <is>
          <t>Number of ordinary shares issued</t>
        </is>
      </c>
    </row>
    <row r="4">
      <c r="A4" s="48" t="inlineStr">
        <is>
          <t>Share Price (PKR)</t>
        </is>
      </c>
      <c r="B4" s="49" t="inlineStr">
        <is>
          <t>SHARE_PRICE</t>
        </is>
      </c>
      <c r="C4" s="50" t="n">
        <v>28</v>
      </c>
      <c r="D4" s="51" t="inlineStr">
        <is>
          <t>PKR per share at issuance</t>
        </is>
      </c>
    </row>
    <row r="5">
      <c r="A5" s="44" t="inlineStr">
        <is>
          <t>Par Value per Share</t>
        </is>
      </c>
      <c r="B5" s="45" t="inlineStr">
        <is>
          <t>PAR_VALUE</t>
        </is>
      </c>
      <c r="C5" s="46" t="n">
        <v>10</v>
      </c>
      <c r="D5" s="47" t="inlineStr">
        <is>
          <t>Nominal/par value per share</t>
        </is>
      </c>
    </row>
    <row r="6">
      <c r="A6" s="48" t="inlineStr">
        <is>
          <t>PPE — Machinery Cost</t>
        </is>
      </c>
      <c r="B6" s="49" t="inlineStr">
        <is>
          <t>PPE_COST</t>
        </is>
      </c>
      <c r="C6" s="50" t="n">
        <v>20000000</v>
      </c>
      <c r="D6" s="51" t="inlineStr">
        <is>
          <t>IAS 16 Cost Model</t>
        </is>
      </c>
    </row>
    <row r="7">
      <c r="A7" s="44" t="inlineStr">
        <is>
          <t>Markup %</t>
        </is>
      </c>
      <c r="B7" s="45" t="inlineStr">
        <is>
          <t>MARKUP</t>
        </is>
      </c>
      <c r="C7" s="52" t="n">
        <v>0.55</v>
      </c>
      <c r="D7" s="47" t="inlineStr">
        <is>
          <t>55% markup on cost</t>
        </is>
      </c>
    </row>
    <row r="8">
      <c r="A8" s="48" t="inlineStr">
        <is>
          <t>Annual Lease Payment</t>
        </is>
      </c>
      <c r="B8" s="49" t="inlineStr">
        <is>
          <t>LEASE_PMT</t>
        </is>
      </c>
      <c r="C8" s="50" t="n">
        <v>450000</v>
      </c>
      <c r="D8" s="51" t="inlineStr">
        <is>
          <t>IFRS 16 annual cash payment</t>
        </is>
      </c>
    </row>
    <row r="9">
      <c r="A9" s="44" t="inlineStr">
        <is>
          <t>Discount Rate</t>
        </is>
      </c>
      <c r="B9" s="45" t="inlineStr">
        <is>
          <t>DISC_RATE</t>
        </is>
      </c>
      <c r="C9" s="52" t="n">
        <v>0.13</v>
      </c>
      <c r="D9" s="47" t="inlineStr">
        <is>
          <t>13% incremental borrowing rate</t>
        </is>
      </c>
    </row>
    <row r="10">
      <c r="A10" s="48" t="inlineStr">
        <is>
          <t>Lease Term (yrs)</t>
        </is>
      </c>
      <c r="B10" s="49" t="inlineStr">
        <is>
          <t>LEASE_TERM</t>
        </is>
      </c>
      <c r="C10" s="50" t="n">
        <v>5</v>
      </c>
      <c r="D10" s="51" t="inlineStr">
        <is>
          <t>5-year lease</t>
        </is>
      </c>
    </row>
    <row r="11">
      <c r="A11" s="44" t="inlineStr">
        <is>
          <t>Research Expense</t>
        </is>
      </c>
      <c r="B11" s="45" t="inlineStr">
        <is>
          <t>RESEARCH</t>
        </is>
      </c>
      <c r="C11" s="46" t="n">
        <v>75000</v>
      </c>
      <c r="D11" s="47" t="inlineStr">
        <is>
          <t>IAS 38 — expensed immediately</t>
        </is>
      </c>
    </row>
    <row r="12">
      <c r="A12" s="48" t="inlineStr">
        <is>
          <t>Development Cost</t>
        </is>
      </c>
      <c r="B12" s="49" t="inlineStr">
        <is>
          <t>DEV_COST</t>
        </is>
      </c>
      <c r="C12" s="50" t="n">
        <v>220000</v>
      </c>
      <c r="D12" s="51" t="inlineStr">
        <is>
          <t>IAS 38 — capitalised</t>
        </is>
      </c>
    </row>
    <row r="13">
      <c r="A13" s="44" t="inlineStr">
        <is>
          <t>Recoverable Amount</t>
        </is>
      </c>
      <c r="B13" s="45" t="inlineStr">
        <is>
          <t>RECOV_AMT</t>
        </is>
      </c>
      <c r="C13" s="46" t="n">
        <v>18000000</v>
      </c>
      <c r="D13" s="47" t="inlineStr">
        <is>
          <t>IAS 36 — higher of FVLCD &amp; VIU</t>
        </is>
      </c>
    </row>
    <row r="14">
      <c r="A14" s="48" t="inlineStr">
        <is>
          <t>Useful Life — Machinery</t>
        </is>
      </c>
      <c r="B14" s="49" t="inlineStr">
        <is>
          <t>USEFUL_LIFE</t>
        </is>
      </c>
      <c r="C14" s="50" t="n">
        <v>60</v>
      </c>
      <c r="D14" s="51" t="inlineStr">
        <is>
          <t>Years — straight-line</t>
        </is>
      </c>
    </row>
    <row r="15">
      <c r="A15" s="44" t="inlineStr">
        <is>
          <t>Land Cost</t>
        </is>
      </c>
      <c r="B15" s="45" t="inlineStr">
        <is>
          <t>LAND_COST</t>
        </is>
      </c>
      <c r="C15" s="46" t="n">
        <v>5000000</v>
      </c>
      <c r="D15" s="47" t="inlineStr">
        <is>
          <t>IAS 16 land purchase</t>
        </is>
      </c>
    </row>
    <row r="16">
      <c r="A16" s="48" t="inlineStr">
        <is>
          <t>Revaluation Gain</t>
        </is>
      </c>
      <c r="B16" s="49" t="inlineStr">
        <is>
          <t>REVAL_GAIN</t>
        </is>
      </c>
      <c r="C16" s="50" t="n">
        <v>1000000</v>
      </c>
      <c r="D16" s="51" t="inlineStr">
        <is>
          <t>OCI — revaluation surplus on land</t>
        </is>
      </c>
    </row>
    <row r="17">
      <c r="A17" s="44" t="inlineStr">
        <is>
          <t>Lease PV</t>
        </is>
      </c>
      <c r="B17" s="45" t="inlineStr">
        <is>
          <t>LEASE_PV</t>
        </is>
      </c>
      <c r="C17" s="53">
        <f>PV(C9,C10,-C8)</f>
        <v/>
      </c>
      <c r="D17" s="47">
        <f>PV(13%,5,-450000) — IFRS 16 initial</f>
        <v/>
      </c>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I73"/>
  <sheetViews>
    <sheetView showGridLines="0" workbookViewId="0">
      <selection activeCell="A1" sqref="A1"/>
    </sheetView>
  </sheetViews>
  <sheetFormatPr baseColWidth="8" defaultRowHeight="15"/>
  <cols>
    <col width="12" customWidth="1" min="1" max="1"/>
    <col width="7" customWidth="1" min="2" max="2"/>
    <col width="42" customWidth="1" min="3" max="3"/>
    <col width="34" customWidth="1" min="4" max="4"/>
    <col width="7" customWidth="1" min="5" max="5"/>
    <col width="16" customWidth="1" min="6" max="6"/>
    <col width="12" customWidth="1" min="7" max="7"/>
    <col width="14" customWidth="1" min="8" max="8"/>
    <col width="8" customWidth="1" min="9" max="9"/>
  </cols>
  <sheetData>
    <row r="1" ht="30" customHeight="1">
      <c r="A1" s="54" t="inlineStr">
        <is>
          <t>GENERAL JOURNAL — Group 8 | All 35 IFRS Transactions (Expanded Debit/Credit)</t>
        </is>
      </c>
    </row>
    <row r="2" ht="20" customHeight="1">
      <c r="A2" s="43" t="inlineStr">
        <is>
          <t>Date</t>
        </is>
      </c>
      <c r="B2" s="43" t="inlineStr">
        <is>
          <t>Txn ID</t>
        </is>
      </c>
      <c r="C2" s="43" t="inlineStr">
        <is>
          <t>Description</t>
        </is>
      </c>
      <c r="D2" s="43" t="inlineStr">
        <is>
          <t>Account</t>
        </is>
      </c>
      <c r="E2" s="43" t="inlineStr">
        <is>
          <t>Dr/Cr</t>
        </is>
      </c>
      <c r="F2" s="43" t="inlineStr">
        <is>
          <t>Amount (PKR)</t>
        </is>
      </c>
      <c r="G2" s="43" t="inlineStr">
        <is>
          <t>IFRS Ref</t>
        </is>
      </c>
      <c r="H2" s="43" t="inlineStr">
        <is>
          <t>Category</t>
        </is>
      </c>
      <c r="I2" s="43" t="inlineStr">
        <is>
          <t>D/C Flag</t>
        </is>
      </c>
    </row>
    <row r="3" ht="17" customHeight="1">
      <c r="A3" s="55" t="inlineStr">
        <is>
          <t>2024-01-01</t>
        </is>
      </c>
      <c r="B3" s="55" t="inlineStr">
        <is>
          <t>T01</t>
        </is>
      </c>
      <c r="C3" s="55" t="inlineStr">
        <is>
          <t>Share Issuance — 550k shares @ PKR 28</t>
        </is>
      </c>
      <c r="D3" s="55" t="inlineStr">
        <is>
          <t>Cash</t>
        </is>
      </c>
      <c r="E3" s="56" t="inlineStr">
        <is>
          <t>Dr</t>
        </is>
      </c>
      <c r="F3" s="57">
        <f>Variable_Matrix!C3*Variable_Matrix!C4</f>
        <v/>
      </c>
      <c r="G3" s="55" t="inlineStr">
        <is>
          <t>IAS 1</t>
        </is>
      </c>
      <c r="H3" s="55" t="inlineStr">
        <is>
          <t>Equity</t>
        </is>
      </c>
      <c r="I3" s="58" t="n">
        <v>1</v>
      </c>
    </row>
    <row r="4" ht="17" customHeight="1">
      <c r="A4" s="59" t="inlineStr">
        <is>
          <t>2024-01-01</t>
        </is>
      </c>
      <c r="B4" s="59" t="inlineStr">
        <is>
          <t>T01</t>
        </is>
      </c>
      <c r="C4" s="59" t="inlineStr">
        <is>
          <t>Share Issuance — Share Capital (par 10)</t>
        </is>
      </c>
      <c r="D4" s="59" t="inlineStr">
        <is>
          <t>Share Capital</t>
        </is>
      </c>
      <c r="E4" s="60" t="inlineStr">
        <is>
          <t>Cr</t>
        </is>
      </c>
      <c r="F4" s="61">
        <f>Variable_Matrix!C3*Variable_Matrix!C5</f>
        <v/>
      </c>
      <c r="G4" s="59" t="inlineStr">
        <is>
          <t>IAS 1</t>
        </is>
      </c>
      <c r="H4" s="59" t="inlineStr">
        <is>
          <t>Equity</t>
        </is>
      </c>
      <c r="I4" s="62" t="n">
        <v>-1</v>
      </c>
    </row>
    <row r="5" ht="17" customHeight="1">
      <c r="A5" s="55" t="inlineStr">
        <is>
          <t>2024-01-01</t>
        </is>
      </c>
      <c r="B5" s="55" t="inlineStr">
        <is>
          <t>T01</t>
        </is>
      </c>
      <c r="C5" s="55" t="inlineStr">
        <is>
          <t>Share Issuance — Share Premium</t>
        </is>
      </c>
      <c r="D5" s="55" t="inlineStr">
        <is>
          <t>Share Premium</t>
        </is>
      </c>
      <c r="E5" s="63" t="inlineStr">
        <is>
          <t>Cr</t>
        </is>
      </c>
      <c r="F5" s="57">
        <f>Variable_Matrix!C3*(Variable_Matrix!C4-Variable_Matrix!C5)</f>
        <v/>
      </c>
      <c r="G5" s="55" t="inlineStr">
        <is>
          <t>IAS 1</t>
        </is>
      </c>
      <c r="H5" s="55" t="inlineStr">
        <is>
          <t>Equity</t>
        </is>
      </c>
      <c r="I5" s="58" t="n">
        <v>-1</v>
      </c>
    </row>
    <row r="6" ht="17" customHeight="1">
      <c r="A6" s="59" t="inlineStr">
        <is>
          <t>2024-01-01</t>
        </is>
      </c>
      <c r="B6" s="59" t="inlineStr">
        <is>
          <t>T02</t>
        </is>
      </c>
      <c r="C6" s="59" t="inlineStr">
        <is>
          <t>Legal Fees on Share Issuance</t>
        </is>
      </c>
      <c r="D6" s="59" t="inlineStr">
        <is>
          <t>Legal Expense</t>
        </is>
      </c>
      <c r="E6" s="64" t="inlineStr">
        <is>
          <t>Dr</t>
        </is>
      </c>
      <c r="F6" s="65" t="n">
        <v>50000</v>
      </c>
      <c r="G6" s="59" t="inlineStr">
        <is>
          <t>IAS 1</t>
        </is>
      </c>
      <c r="H6" s="59" t="inlineStr">
        <is>
          <t>Operating</t>
        </is>
      </c>
      <c r="I6" s="62" t="n">
        <v>1</v>
      </c>
    </row>
    <row r="7" ht="17" customHeight="1">
      <c r="A7" s="55" t="inlineStr">
        <is>
          <t>2024-01-01</t>
        </is>
      </c>
      <c r="B7" s="55" t="inlineStr">
        <is>
          <t>T02</t>
        </is>
      </c>
      <c r="C7" s="55" t="inlineStr">
        <is>
          <t>Legal Fees on Share Issuance</t>
        </is>
      </c>
      <c r="D7" s="55" t="inlineStr">
        <is>
          <t>Cash</t>
        </is>
      </c>
      <c r="E7" s="63" t="inlineStr">
        <is>
          <t>Cr</t>
        </is>
      </c>
      <c r="F7" s="66" t="n">
        <v>50000</v>
      </c>
      <c r="G7" s="55" t="inlineStr">
        <is>
          <t>IAS 1</t>
        </is>
      </c>
      <c r="H7" s="55" t="inlineStr">
        <is>
          <t>Operating</t>
        </is>
      </c>
      <c r="I7" s="58" t="n">
        <v>-1</v>
      </c>
    </row>
    <row r="8" ht="17" customHeight="1">
      <c r="A8" s="59" t="inlineStr">
        <is>
          <t>2024-01-03</t>
        </is>
      </c>
      <c r="B8" s="59" t="inlineStr">
        <is>
          <t>T03</t>
        </is>
      </c>
      <c r="C8" s="59" t="inlineStr">
        <is>
          <t>Machinery Purchase</t>
        </is>
      </c>
      <c r="D8" s="59" t="inlineStr">
        <is>
          <t>Machinery</t>
        </is>
      </c>
      <c r="E8" s="64" t="inlineStr">
        <is>
          <t>Dr</t>
        </is>
      </c>
      <c r="F8" s="61">
        <f>Variable_Matrix!C6</f>
        <v/>
      </c>
      <c r="G8" s="59" t="inlineStr">
        <is>
          <t>IAS 16</t>
        </is>
      </c>
      <c r="H8" s="59" t="inlineStr">
        <is>
          <t>Investing</t>
        </is>
      </c>
      <c r="I8" s="62" t="n">
        <v>1</v>
      </c>
    </row>
    <row r="9" ht="17" customHeight="1">
      <c r="A9" s="55" t="inlineStr">
        <is>
          <t>2024-01-03</t>
        </is>
      </c>
      <c r="B9" s="55" t="inlineStr">
        <is>
          <t>T03</t>
        </is>
      </c>
      <c r="C9" s="55" t="inlineStr">
        <is>
          <t>Machinery Purchase</t>
        </is>
      </c>
      <c r="D9" s="55" t="inlineStr">
        <is>
          <t>Cash</t>
        </is>
      </c>
      <c r="E9" s="63" t="inlineStr">
        <is>
          <t>Cr</t>
        </is>
      </c>
      <c r="F9" s="57">
        <f>Variable_Matrix!C6</f>
        <v/>
      </c>
      <c r="G9" s="55" t="inlineStr">
        <is>
          <t>IAS 16</t>
        </is>
      </c>
      <c r="H9" s="55" t="inlineStr">
        <is>
          <t>Investing</t>
        </is>
      </c>
      <c r="I9" s="58" t="n">
        <v>-1</v>
      </c>
    </row>
    <row r="10" ht="17" customHeight="1">
      <c r="A10" s="59" t="inlineStr">
        <is>
          <t>2024-01-04</t>
        </is>
      </c>
      <c r="B10" s="59" t="inlineStr">
        <is>
          <t>T04</t>
        </is>
      </c>
      <c r="C10" s="59" t="inlineStr">
        <is>
          <t>Land Purchase</t>
        </is>
      </c>
      <c r="D10" s="59" t="inlineStr">
        <is>
          <t>Land</t>
        </is>
      </c>
      <c r="E10" s="64" t="inlineStr">
        <is>
          <t>Dr</t>
        </is>
      </c>
      <c r="F10" s="61">
        <f>Variable_Matrix!C15</f>
        <v/>
      </c>
      <c r="G10" s="59" t="inlineStr">
        <is>
          <t>IAS 16</t>
        </is>
      </c>
      <c r="H10" s="59" t="inlineStr">
        <is>
          <t>Investing</t>
        </is>
      </c>
      <c r="I10" s="62" t="n">
        <v>1</v>
      </c>
    </row>
    <row r="11" ht="17" customHeight="1">
      <c r="A11" s="55" t="inlineStr">
        <is>
          <t>2024-01-04</t>
        </is>
      </c>
      <c r="B11" s="55" t="inlineStr">
        <is>
          <t>T04</t>
        </is>
      </c>
      <c r="C11" s="55" t="inlineStr">
        <is>
          <t>Land Purchase</t>
        </is>
      </c>
      <c r="D11" s="55" t="inlineStr">
        <is>
          <t>Cash</t>
        </is>
      </c>
      <c r="E11" s="63" t="inlineStr">
        <is>
          <t>Cr</t>
        </is>
      </c>
      <c r="F11" s="57">
        <f>Variable_Matrix!C15</f>
        <v/>
      </c>
      <c r="G11" s="55" t="inlineStr">
        <is>
          <t>IAS 16</t>
        </is>
      </c>
      <c r="H11" s="55" t="inlineStr">
        <is>
          <t>Investing</t>
        </is>
      </c>
      <c r="I11" s="58" t="n">
        <v>-1</v>
      </c>
    </row>
    <row r="12" ht="17" customHeight="1">
      <c r="A12" s="59" t="inlineStr">
        <is>
          <t>2024-01-05</t>
        </is>
      </c>
      <c r="B12" s="59" t="inlineStr">
        <is>
          <t>T05</t>
        </is>
      </c>
      <c r="C12" s="59" t="inlineStr">
        <is>
          <t>Land Revaluation — OCI</t>
        </is>
      </c>
      <c r="D12" s="59" t="inlineStr">
        <is>
          <t>Land</t>
        </is>
      </c>
      <c r="E12" s="64" t="inlineStr">
        <is>
          <t>Dr</t>
        </is>
      </c>
      <c r="F12" s="61">
        <f>Variable_Matrix!C16</f>
        <v/>
      </c>
      <c r="G12" s="59" t="inlineStr">
        <is>
          <t>IAS 16</t>
        </is>
      </c>
      <c r="H12" s="59" t="inlineStr">
        <is>
          <t>OCI</t>
        </is>
      </c>
      <c r="I12" s="62" t="n">
        <v>1</v>
      </c>
    </row>
    <row r="13" ht="17" customHeight="1">
      <c r="A13" s="55" t="inlineStr">
        <is>
          <t>2024-01-05</t>
        </is>
      </c>
      <c r="B13" s="55" t="inlineStr">
        <is>
          <t>T05</t>
        </is>
      </c>
      <c r="C13" s="55" t="inlineStr">
        <is>
          <t>Land Revaluation — OCI</t>
        </is>
      </c>
      <c r="D13" s="55" t="inlineStr">
        <is>
          <t>Revaluation Surplus (OCI)</t>
        </is>
      </c>
      <c r="E13" s="63" t="inlineStr">
        <is>
          <t>Cr</t>
        </is>
      </c>
      <c r="F13" s="57">
        <f>Variable_Matrix!C16</f>
        <v/>
      </c>
      <c r="G13" s="55" t="inlineStr">
        <is>
          <t>IAS 16</t>
        </is>
      </c>
      <c r="H13" s="55" t="inlineStr">
        <is>
          <t>OCI</t>
        </is>
      </c>
      <c r="I13" s="58" t="n">
        <v>-1</v>
      </c>
    </row>
    <row r="14" ht="17" customHeight="1">
      <c r="A14" s="59" t="inlineStr">
        <is>
          <t>2024-01-06</t>
        </is>
      </c>
      <c r="B14" s="59" t="inlineStr">
        <is>
          <t>T06</t>
        </is>
      </c>
      <c r="C14" s="59" t="inlineStr">
        <is>
          <t>Inventory Purchase Batch 1 (credit)</t>
        </is>
      </c>
      <c r="D14" s="59" t="inlineStr">
        <is>
          <t>Inventory</t>
        </is>
      </c>
      <c r="E14" s="64" t="inlineStr">
        <is>
          <t>Dr</t>
        </is>
      </c>
      <c r="F14" s="65" t="n">
        <v>100000</v>
      </c>
      <c r="G14" s="59" t="inlineStr">
        <is>
          <t>IAS 2</t>
        </is>
      </c>
      <c r="H14" s="59" t="inlineStr">
        <is>
          <t>Operating</t>
        </is>
      </c>
      <c r="I14" s="62" t="n">
        <v>1</v>
      </c>
    </row>
    <row r="15" ht="17" customHeight="1">
      <c r="A15" s="55" t="inlineStr">
        <is>
          <t>2024-01-06</t>
        </is>
      </c>
      <c r="B15" s="55" t="inlineStr">
        <is>
          <t>T06</t>
        </is>
      </c>
      <c r="C15" s="55" t="inlineStr">
        <is>
          <t>Inventory Purchase Batch 1 (credit)</t>
        </is>
      </c>
      <c r="D15" s="55" t="inlineStr">
        <is>
          <t>Accounts Payable</t>
        </is>
      </c>
      <c r="E15" s="63" t="inlineStr">
        <is>
          <t>Cr</t>
        </is>
      </c>
      <c r="F15" s="66" t="n">
        <v>100000</v>
      </c>
      <c r="G15" s="55" t="inlineStr">
        <is>
          <t>IAS 2</t>
        </is>
      </c>
      <c r="H15" s="55" t="inlineStr">
        <is>
          <t>Operating</t>
        </is>
      </c>
      <c r="I15" s="58" t="n">
        <v>-1</v>
      </c>
    </row>
    <row r="16" ht="17" customHeight="1">
      <c r="A16" s="59" t="inlineStr">
        <is>
          <t>2024-01-07</t>
        </is>
      </c>
      <c r="B16" s="59" t="inlineStr">
        <is>
          <t>T07</t>
        </is>
      </c>
      <c r="C16" s="59" t="inlineStr">
        <is>
          <t>Sale 1 — on credit</t>
        </is>
      </c>
      <c r="D16" s="59" t="inlineStr">
        <is>
          <t>Accounts Receivable</t>
        </is>
      </c>
      <c r="E16" s="64" t="inlineStr">
        <is>
          <t>Dr</t>
        </is>
      </c>
      <c r="F16" s="65" t="n">
        <v>93000</v>
      </c>
      <c r="G16" s="59" t="inlineStr">
        <is>
          <t>IAS 1</t>
        </is>
      </c>
      <c r="H16" s="59" t="inlineStr">
        <is>
          <t>Operating</t>
        </is>
      </c>
      <c r="I16" s="62" t="n">
        <v>1</v>
      </c>
    </row>
    <row r="17" ht="17" customHeight="1">
      <c r="A17" s="55" t="inlineStr">
        <is>
          <t>2024-01-07</t>
        </is>
      </c>
      <c r="B17" s="55" t="inlineStr">
        <is>
          <t>T07</t>
        </is>
      </c>
      <c r="C17" s="55" t="inlineStr">
        <is>
          <t>Sale 1 — on credit</t>
        </is>
      </c>
      <c r="D17" s="55" t="inlineStr">
        <is>
          <t>Sales Revenue</t>
        </is>
      </c>
      <c r="E17" s="63" t="inlineStr">
        <is>
          <t>Cr</t>
        </is>
      </c>
      <c r="F17" s="66" t="n">
        <v>93000</v>
      </c>
      <c r="G17" s="55" t="inlineStr">
        <is>
          <t>IAS 1</t>
        </is>
      </c>
      <c r="H17" s="55" t="inlineStr">
        <is>
          <t>Operating</t>
        </is>
      </c>
      <c r="I17" s="58" t="n">
        <v>-1</v>
      </c>
    </row>
    <row r="18" ht="17" customHeight="1">
      <c r="A18" s="59" t="inlineStr">
        <is>
          <t>2024-01-07</t>
        </is>
      </c>
      <c r="B18" s="59" t="inlineStr">
        <is>
          <t>T08</t>
        </is>
      </c>
      <c r="C18" s="59" t="inlineStr">
        <is>
          <t>COGS — Batch 1 (FIFO)</t>
        </is>
      </c>
      <c r="D18" s="59" t="inlineStr">
        <is>
          <t>Cost of Sales</t>
        </is>
      </c>
      <c r="E18" s="64" t="inlineStr">
        <is>
          <t>Dr</t>
        </is>
      </c>
      <c r="F18" s="65" t="n">
        <v>60000</v>
      </c>
      <c r="G18" s="59" t="inlineStr">
        <is>
          <t>IAS 2</t>
        </is>
      </c>
      <c r="H18" s="59" t="inlineStr">
        <is>
          <t>Operating</t>
        </is>
      </c>
      <c r="I18" s="62" t="n">
        <v>1</v>
      </c>
    </row>
    <row r="19" ht="17" customHeight="1">
      <c r="A19" s="55" t="inlineStr">
        <is>
          <t>2024-01-07</t>
        </is>
      </c>
      <c r="B19" s="55" t="inlineStr">
        <is>
          <t>T08</t>
        </is>
      </c>
      <c r="C19" s="55" t="inlineStr">
        <is>
          <t>COGS — Batch 1 (FIFO)</t>
        </is>
      </c>
      <c r="D19" s="55" t="inlineStr">
        <is>
          <t>Inventory</t>
        </is>
      </c>
      <c r="E19" s="63" t="inlineStr">
        <is>
          <t>Cr</t>
        </is>
      </c>
      <c r="F19" s="66" t="n">
        <v>60000</v>
      </c>
      <c r="G19" s="55" t="inlineStr">
        <is>
          <t>IAS 2</t>
        </is>
      </c>
      <c r="H19" s="55" t="inlineStr">
        <is>
          <t>Operating</t>
        </is>
      </c>
      <c r="I19" s="58" t="n">
        <v>-1</v>
      </c>
    </row>
    <row r="20" ht="17" customHeight="1">
      <c r="A20" s="59" t="inlineStr">
        <is>
          <t>2024-01-08</t>
        </is>
      </c>
      <c r="B20" s="59" t="inlineStr">
        <is>
          <t>T09</t>
        </is>
      </c>
      <c r="C20" s="59" t="inlineStr">
        <is>
          <t>Collection from Customer</t>
        </is>
      </c>
      <c r="D20" s="59" t="inlineStr">
        <is>
          <t>Cash</t>
        </is>
      </c>
      <c r="E20" s="64" t="inlineStr">
        <is>
          <t>Dr</t>
        </is>
      </c>
      <c r="F20" s="65" t="n">
        <v>74400</v>
      </c>
      <c r="G20" s="59" t="inlineStr">
        <is>
          <t>IAS 1</t>
        </is>
      </c>
      <c r="H20" s="59" t="inlineStr">
        <is>
          <t>Operating</t>
        </is>
      </c>
      <c r="I20" s="62" t="n">
        <v>1</v>
      </c>
    </row>
    <row r="21" ht="17" customHeight="1">
      <c r="A21" s="55" t="inlineStr">
        <is>
          <t>2024-01-08</t>
        </is>
      </c>
      <c r="B21" s="55" t="inlineStr">
        <is>
          <t>T09</t>
        </is>
      </c>
      <c r="C21" s="55" t="inlineStr">
        <is>
          <t>Collection from Customer</t>
        </is>
      </c>
      <c r="D21" s="55" t="inlineStr">
        <is>
          <t>Accounts Receivable</t>
        </is>
      </c>
      <c r="E21" s="63" t="inlineStr">
        <is>
          <t>Cr</t>
        </is>
      </c>
      <c r="F21" s="66" t="n">
        <v>74400</v>
      </c>
      <c r="G21" s="55" t="inlineStr">
        <is>
          <t>IAS 1</t>
        </is>
      </c>
      <c r="H21" s="55" t="inlineStr">
        <is>
          <t>Operating</t>
        </is>
      </c>
      <c r="I21" s="58" t="n">
        <v>-1</v>
      </c>
    </row>
    <row r="22" ht="17" customHeight="1">
      <c r="A22" s="59" t="inlineStr">
        <is>
          <t>2024-01-09</t>
        </is>
      </c>
      <c r="B22" s="59" t="inlineStr">
        <is>
          <t>T10</t>
        </is>
      </c>
      <c r="C22" s="59" t="inlineStr">
        <is>
          <t>Inventory Purchase Batch 2 (cash)</t>
        </is>
      </c>
      <c r="D22" s="59" t="inlineStr">
        <is>
          <t>Inventory</t>
        </is>
      </c>
      <c r="E22" s="64" t="inlineStr">
        <is>
          <t>Dr</t>
        </is>
      </c>
      <c r="F22" s="65" t="n">
        <v>60000</v>
      </c>
      <c r="G22" s="59" t="inlineStr">
        <is>
          <t>IAS 2</t>
        </is>
      </c>
      <c r="H22" s="59" t="inlineStr">
        <is>
          <t>Operating</t>
        </is>
      </c>
      <c r="I22" s="62" t="n">
        <v>1</v>
      </c>
    </row>
    <row r="23" ht="17" customHeight="1">
      <c r="A23" s="55" t="inlineStr">
        <is>
          <t>2024-01-09</t>
        </is>
      </c>
      <c r="B23" s="55" t="inlineStr">
        <is>
          <t>T10</t>
        </is>
      </c>
      <c r="C23" s="55" t="inlineStr">
        <is>
          <t>Inventory Purchase Batch 2 (cash)</t>
        </is>
      </c>
      <c r="D23" s="55" t="inlineStr">
        <is>
          <t>Cash</t>
        </is>
      </c>
      <c r="E23" s="63" t="inlineStr">
        <is>
          <t>Cr</t>
        </is>
      </c>
      <c r="F23" s="66" t="n">
        <v>60000</v>
      </c>
      <c r="G23" s="55" t="inlineStr">
        <is>
          <t>IAS 2</t>
        </is>
      </c>
      <c r="H23" s="55" t="inlineStr">
        <is>
          <t>Operating</t>
        </is>
      </c>
      <c r="I23" s="58" t="n">
        <v>-1</v>
      </c>
    </row>
    <row r="24" ht="17" customHeight="1">
      <c r="A24" s="59" t="inlineStr">
        <is>
          <t>2024-01-10</t>
        </is>
      </c>
      <c r="B24" s="59" t="inlineStr">
        <is>
          <t>T11</t>
        </is>
      </c>
      <c r="C24" s="59" t="inlineStr">
        <is>
          <t>Sale 2 — cash</t>
        </is>
      </c>
      <c r="D24" s="59" t="inlineStr">
        <is>
          <t>Cash</t>
        </is>
      </c>
      <c r="E24" s="64" t="inlineStr">
        <is>
          <t>Dr</t>
        </is>
      </c>
      <c r="F24" s="65" t="n">
        <v>74400</v>
      </c>
      <c r="G24" s="59" t="inlineStr">
        <is>
          <t>IAS 1</t>
        </is>
      </c>
      <c r="H24" s="59" t="inlineStr">
        <is>
          <t>Operating</t>
        </is>
      </c>
      <c r="I24" s="62" t="n">
        <v>1</v>
      </c>
    </row>
    <row r="25" ht="17" customHeight="1">
      <c r="A25" s="55" t="inlineStr">
        <is>
          <t>2024-01-10</t>
        </is>
      </c>
      <c r="B25" s="55" t="inlineStr">
        <is>
          <t>T11</t>
        </is>
      </c>
      <c r="C25" s="55" t="inlineStr">
        <is>
          <t>Sale 2 — cash</t>
        </is>
      </c>
      <c r="D25" s="55" t="inlineStr">
        <is>
          <t>Sales Revenue</t>
        </is>
      </c>
      <c r="E25" s="63" t="inlineStr">
        <is>
          <t>Cr</t>
        </is>
      </c>
      <c r="F25" s="66" t="n">
        <v>74400</v>
      </c>
      <c r="G25" s="55" t="inlineStr">
        <is>
          <t>IAS 1</t>
        </is>
      </c>
      <c r="H25" s="55" t="inlineStr">
        <is>
          <t>Operating</t>
        </is>
      </c>
      <c r="I25" s="58" t="n">
        <v>-1</v>
      </c>
    </row>
    <row r="26" ht="17" customHeight="1">
      <c r="A26" s="59" t="inlineStr">
        <is>
          <t>2024-01-11</t>
        </is>
      </c>
      <c r="B26" s="59" t="inlineStr">
        <is>
          <t>T12</t>
        </is>
      </c>
      <c r="C26" s="59" t="inlineStr">
        <is>
          <t>Sales Return</t>
        </is>
      </c>
      <c r="D26" s="59" t="inlineStr">
        <is>
          <t>Sales Returns &amp; Allowances</t>
        </is>
      </c>
      <c r="E26" s="64" t="inlineStr">
        <is>
          <t>Dr</t>
        </is>
      </c>
      <c r="F26" s="65" t="n">
        <v>9300</v>
      </c>
      <c r="G26" s="59" t="inlineStr">
        <is>
          <t>IAS 1</t>
        </is>
      </c>
      <c r="H26" s="59" t="inlineStr">
        <is>
          <t>Operating</t>
        </is>
      </c>
      <c r="I26" s="62" t="n">
        <v>1</v>
      </c>
    </row>
    <row r="27" ht="17" customHeight="1">
      <c r="A27" s="55" t="inlineStr">
        <is>
          <t>2024-01-11</t>
        </is>
      </c>
      <c r="B27" s="55" t="inlineStr">
        <is>
          <t>T12</t>
        </is>
      </c>
      <c r="C27" s="55" t="inlineStr">
        <is>
          <t>Sales Return</t>
        </is>
      </c>
      <c r="D27" s="55" t="inlineStr">
        <is>
          <t>Cash</t>
        </is>
      </c>
      <c r="E27" s="63" t="inlineStr">
        <is>
          <t>Cr</t>
        </is>
      </c>
      <c r="F27" s="66" t="n">
        <v>9300</v>
      </c>
      <c r="G27" s="55" t="inlineStr">
        <is>
          <t>IAS 1</t>
        </is>
      </c>
      <c r="H27" s="55" t="inlineStr">
        <is>
          <t>Operating</t>
        </is>
      </c>
      <c r="I27" s="58" t="n">
        <v>-1</v>
      </c>
    </row>
    <row r="28" ht="17" customHeight="1">
      <c r="A28" s="59" t="inlineStr">
        <is>
          <t>2024-01-12</t>
        </is>
      </c>
      <c r="B28" s="59" t="inlineStr">
        <is>
          <t>T13</t>
        </is>
      </c>
      <c r="C28" s="59" t="inlineStr">
        <is>
          <t>NRV Write-Down (IAS 2)</t>
        </is>
      </c>
      <c r="D28" s="59" t="inlineStr">
        <is>
          <t>Inventory Write-Down Loss</t>
        </is>
      </c>
      <c r="E28" s="64" t="inlineStr">
        <is>
          <t>Dr</t>
        </is>
      </c>
      <c r="F28" s="65" t="n">
        <v>1000</v>
      </c>
      <c r="G28" s="59" t="inlineStr">
        <is>
          <t>IAS 2</t>
        </is>
      </c>
      <c r="H28" s="59" t="inlineStr">
        <is>
          <t>Operating</t>
        </is>
      </c>
      <c r="I28" s="62" t="n">
        <v>1</v>
      </c>
    </row>
    <row r="29" ht="17" customHeight="1">
      <c r="A29" s="55" t="inlineStr">
        <is>
          <t>2024-01-12</t>
        </is>
      </c>
      <c r="B29" s="55" t="inlineStr">
        <is>
          <t>T13</t>
        </is>
      </c>
      <c r="C29" s="55" t="inlineStr">
        <is>
          <t>NRV Write-Down (IAS 2)</t>
        </is>
      </c>
      <c r="D29" s="55" t="inlineStr">
        <is>
          <t>Inventory</t>
        </is>
      </c>
      <c r="E29" s="63" t="inlineStr">
        <is>
          <t>Cr</t>
        </is>
      </c>
      <c r="F29" s="66" t="n">
        <v>1000</v>
      </c>
      <c r="G29" s="55" t="inlineStr">
        <is>
          <t>IAS 2</t>
        </is>
      </c>
      <c r="H29" s="55" t="inlineStr">
        <is>
          <t>Operating</t>
        </is>
      </c>
      <c r="I29" s="58" t="n">
        <v>-1</v>
      </c>
    </row>
    <row r="30" ht="17" customHeight="1">
      <c r="A30" s="59" t="inlineStr">
        <is>
          <t>2024-01-13</t>
        </is>
      </c>
      <c r="B30" s="59" t="inlineStr">
        <is>
          <t>T14</t>
        </is>
      </c>
      <c r="C30" s="59" t="inlineStr">
        <is>
          <t>Payment to Suppliers</t>
        </is>
      </c>
      <c r="D30" s="59" t="inlineStr">
        <is>
          <t>Accounts Payable</t>
        </is>
      </c>
      <c r="E30" s="64" t="inlineStr">
        <is>
          <t>Dr</t>
        </is>
      </c>
      <c r="F30" s="65" t="n">
        <v>60000</v>
      </c>
      <c r="G30" s="59" t="inlineStr">
        <is>
          <t>IAS 1</t>
        </is>
      </c>
      <c r="H30" s="59" t="inlineStr">
        <is>
          <t>Operating</t>
        </is>
      </c>
      <c r="I30" s="62" t="n">
        <v>1</v>
      </c>
    </row>
    <row r="31" ht="17" customHeight="1">
      <c r="A31" s="55" t="inlineStr">
        <is>
          <t>2024-01-13</t>
        </is>
      </c>
      <c r="B31" s="55" t="inlineStr">
        <is>
          <t>T14</t>
        </is>
      </c>
      <c r="C31" s="55" t="inlineStr">
        <is>
          <t>Payment to Suppliers</t>
        </is>
      </c>
      <c r="D31" s="55" t="inlineStr">
        <is>
          <t>Cash</t>
        </is>
      </c>
      <c r="E31" s="63" t="inlineStr">
        <is>
          <t>Cr</t>
        </is>
      </c>
      <c r="F31" s="66" t="n">
        <v>60000</v>
      </c>
      <c r="G31" s="55" t="inlineStr">
        <is>
          <t>IAS 1</t>
        </is>
      </c>
      <c r="H31" s="55" t="inlineStr">
        <is>
          <t>Operating</t>
        </is>
      </c>
      <c r="I31" s="58" t="n">
        <v>-1</v>
      </c>
    </row>
    <row r="32" ht="17" customHeight="1">
      <c r="A32" s="59" t="inlineStr">
        <is>
          <t>2024-01-14</t>
        </is>
      </c>
      <c r="B32" s="59" t="inlineStr">
        <is>
          <t>T15</t>
        </is>
      </c>
      <c r="C32" s="59" t="inlineStr">
        <is>
          <t>Bad Debt Expense</t>
        </is>
      </c>
      <c r="D32" s="59" t="inlineStr">
        <is>
          <t>Bad Debt Expense</t>
        </is>
      </c>
      <c r="E32" s="64" t="inlineStr">
        <is>
          <t>Dr</t>
        </is>
      </c>
      <c r="F32" s="65" t="n">
        <v>5000</v>
      </c>
      <c r="G32" s="59" t="inlineStr">
        <is>
          <t>IAS 1</t>
        </is>
      </c>
      <c r="H32" s="59" t="inlineStr">
        <is>
          <t>Operating</t>
        </is>
      </c>
      <c r="I32" s="62" t="n">
        <v>1</v>
      </c>
    </row>
    <row r="33" ht="17" customHeight="1">
      <c r="A33" s="55" t="inlineStr">
        <is>
          <t>2024-01-14</t>
        </is>
      </c>
      <c r="B33" s="55" t="inlineStr">
        <is>
          <t>T15</t>
        </is>
      </c>
      <c r="C33" s="55" t="inlineStr">
        <is>
          <t>Bad Debt Expense</t>
        </is>
      </c>
      <c r="D33" s="55" t="inlineStr">
        <is>
          <t>Accounts Receivable</t>
        </is>
      </c>
      <c r="E33" s="63" t="inlineStr">
        <is>
          <t>Cr</t>
        </is>
      </c>
      <c r="F33" s="66" t="n">
        <v>5000</v>
      </c>
      <c r="G33" s="55" t="inlineStr">
        <is>
          <t>IAS 1</t>
        </is>
      </c>
      <c r="H33" s="55" t="inlineStr">
        <is>
          <t>Operating</t>
        </is>
      </c>
      <c r="I33" s="58" t="n">
        <v>-1</v>
      </c>
    </row>
    <row r="34" ht="17" customHeight="1">
      <c r="A34" s="59" t="inlineStr">
        <is>
          <t>2024-01-15</t>
        </is>
      </c>
      <c r="B34" s="59" t="inlineStr">
        <is>
          <t>T16</t>
        </is>
      </c>
      <c r="C34" s="59" t="inlineStr">
        <is>
          <t>Research Expense — expensed (IAS 38)</t>
        </is>
      </c>
      <c r="D34" s="59" t="inlineStr">
        <is>
          <t>Research Expense</t>
        </is>
      </c>
      <c r="E34" s="64" t="inlineStr">
        <is>
          <t>Dr</t>
        </is>
      </c>
      <c r="F34" s="61">
        <f>Variable_Matrix!C11</f>
        <v/>
      </c>
      <c r="G34" s="59" t="inlineStr">
        <is>
          <t>IAS 38</t>
        </is>
      </c>
      <c r="H34" s="59" t="inlineStr">
        <is>
          <t>Operating</t>
        </is>
      </c>
      <c r="I34" s="62" t="n">
        <v>1</v>
      </c>
    </row>
    <row r="35" ht="17" customHeight="1">
      <c r="A35" s="55" t="inlineStr">
        <is>
          <t>2024-01-15</t>
        </is>
      </c>
      <c r="B35" s="55" t="inlineStr">
        <is>
          <t>T16</t>
        </is>
      </c>
      <c r="C35" s="55" t="inlineStr">
        <is>
          <t>Research Expense — expensed (IAS 38)</t>
        </is>
      </c>
      <c r="D35" s="55" t="inlineStr">
        <is>
          <t>Cash</t>
        </is>
      </c>
      <c r="E35" s="63" t="inlineStr">
        <is>
          <t>Cr</t>
        </is>
      </c>
      <c r="F35" s="57">
        <f>Variable_Matrix!C11</f>
        <v/>
      </c>
      <c r="G35" s="55" t="inlineStr">
        <is>
          <t>IAS 38</t>
        </is>
      </c>
      <c r="H35" s="55" t="inlineStr">
        <is>
          <t>Operating</t>
        </is>
      </c>
      <c r="I35" s="58" t="n">
        <v>-1</v>
      </c>
    </row>
    <row r="36" ht="17" customHeight="1">
      <c r="A36" s="59" t="inlineStr">
        <is>
          <t>2024-01-16</t>
        </is>
      </c>
      <c r="B36" s="59" t="inlineStr">
        <is>
          <t>T17</t>
        </is>
      </c>
      <c r="C36" s="59" t="inlineStr">
        <is>
          <t>Development Cost Capitalised (IAS 38)</t>
        </is>
      </c>
      <c r="D36" s="59" t="inlineStr">
        <is>
          <t>Intangible Asset — Dev Cost</t>
        </is>
      </c>
      <c r="E36" s="64" t="inlineStr">
        <is>
          <t>Dr</t>
        </is>
      </c>
      <c r="F36" s="61">
        <f>Variable_Matrix!C12</f>
        <v/>
      </c>
      <c r="G36" s="59" t="inlineStr">
        <is>
          <t>IAS 38</t>
        </is>
      </c>
      <c r="H36" s="59" t="inlineStr">
        <is>
          <t>Investing</t>
        </is>
      </c>
      <c r="I36" s="62" t="n">
        <v>1</v>
      </c>
    </row>
    <row r="37" ht="17" customHeight="1">
      <c r="A37" s="55" t="inlineStr">
        <is>
          <t>2024-01-16</t>
        </is>
      </c>
      <c r="B37" s="55" t="inlineStr">
        <is>
          <t>T17</t>
        </is>
      </c>
      <c r="C37" s="55" t="inlineStr">
        <is>
          <t>Development Cost Capitalised (IAS 38)</t>
        </is>
      </c>
      <c r="D37" s="55" t="inlineStr">
        <is>
          <t>Cash</t>
        </is>
      </c>
      <c r="E37" s="63" t="inlineStr">
        <is>
          <t>Cr</t>
        </is>
      </c>
      <c r="F37" s="57">
        <f>Variable_Matrix!C12</f>
        <v/>
      </c>
      <c r="G37" s="55" t="inlineStr">
        <is>
          <t>IAS 38</t>
        </is>
      </c>
      <c r="H37" s="55" t="inlineStr">
        <is>
          <t>Investing</t>
        </is>
      </c>
      <c r="I37" s="58" t="n">
        <v>-1</v>
      </c>
    </row>
    <row r="38" ht="17" customHeight="1">
      <c r="A38" s="59" t="inlineStr">
        <is>
          <t>2024-01-17</t>
        </is>
      </c>
      <c r="B38" s="59" t="inlineStr">
        <is>
          <t>T18</t>
        </is>
      </c>
      <c r="C38" s="59" t="inlineStr">
        <is>
          <t>IFRS 16 — ROU Asset Recognition</t>
        </is>
      </c>
      <c r="D38" s="59" t="inlineStr">
        <is>
          <t>Right-of-Use Asset</t>
        </is>
      </c>
      <c r="E38" s="64" t="inlineStr">
        <is>
          <t>Dr</t>
        </is>
      </c>
      <c r="F38" s="61">
        <f>Variable_Matrix!C17</f>
        <v/>
      </c>
      <c r="G38" s="59" t="inlineStr">
        <is>
          <t>IFRS 16</t>
        </is>
      </c>
      <c r="H38" s="59" t="inlineStr">
        <is>
          <t>Financing</t>
        </is>
      </c>
      <c r="I38" s="62" t="n">
        <v>1</v>
      </c>
    </row>
    <row r="39" ht="17" customHeight="1">
      <c r="A39" s="55" t="inlineStr">
        <is>
          <t>2024-01-17</t>
        </is>
      </c>
      <c r="B39" s="55" t="inlineStr">
        <is>
          <t>T18</t>
        </is>
      </c>
      <c r="C39" s="55" t="inlineStr">
        <is>
          <t>IFRS 16 — Lease Liability Recognition</t>
        </is>
      </c>
      <c r="D39" s="55" t="inlineStr">
        <is>
          <t>Lease Liability</t>
        </is>
      </c>
      <c r="E39" s="63" t="inlineStr">
        <is>
          <t>Cr</t>
        </is>
      </c>
      <c r="F39" s="57">
        <f>Variable_Matrix!C17</f>
        <v/>
      </c>
      <c r="G39" s="55" t="inlineStr">
        <is>
          <t>IFRS 16</t>
        </is>
      </c>
      <c r="H39" s="55" t="inlineStr">
        <is>
          <t>Financing</t>
        </is>
      </c>
      <c r="I39" s="58" t="n">
        <v>-1</v>
      </c>
    </row>
    <row r="40" ht="17" customHeight="1">
      <c r="A40" s="59" t="inlineStr">
        <is>
          <t>2024-01-17</t>
        </is>
      </c>
      <c r="B40" s="59" t="inlineStr">
        <is>
          <t>T19</t>
        </is>
      </c>
      <c r="C40" s="59" t="inlineStr">
        <is>
          <t>IFRS 16 PV Check: =PV(13%,5,-450000)</t>
        </is>
      </c>
      <c r="D40" s="59" t="inlineStr">
        <is>
          <t>[Memo — No JE]</t>
        </is>
      </c>
      <c r="E40" s="64" t="inlineStr">
        <is>
          <t>Dr</t>
        </is>
      </c>
      <c r="F40" s="65" t="n">
        <v>0</v>
      </c>
      <c r="G40" s="59" t="inlineStr">
        <is>
          <t>IFRS 16</t>
        </is>
      </c>
      <c r="H40" s="59" t="inlineStr">
        <is>
          <t>Memo</t>
        </is>
      </c>
      <c r="I40" s="62" t="n">
        <v>0</v>
      </c>
    </row>
    <row r="41" ht="17" customHeight="1">
      <c r="A41" s="55" t="inlineStr">
        <is>
          <t>2024-01-31</t>
        </is>
      </c>
      <c r="B41" s="55" t="inlineStr">
        <is>
          <t>T20</t>
        </is>
      </c>
      <c r="C41" s="55" t="inlineStr">
        <is>
          <t>Lease Interest — Year 1</t>
        </is>
      </c>
      <c r="D41" s="55" t="inlineStr">
        <is>
          <t>Interest Expense</t>
        </is>
      </c>
      <c r="E41" s="56" t="inlineStr">
        <is>
          <t>Dr</t>
        </is>
      </c>
      <c r="F41" s="66" t="n">
        <v>207619</v>
      </c>
      <c r="G41" s="55" t="inlineStr">
        <is>
          <t>IFRS 16</t>
        </is>
      </c>
      <c r="H41" s="55" t="inlineStr">
        <is>
          <t>Operating</t>
        </is>
      </c>
      <c r="I41" s="58" t="n">
        <v>1</v>
      </c>
    </row>
    <row r="42" ht="17" customHeight="1">
      <c r="A42" s="59" t="inlineStr">
        <is>
          <t>2024-01-31</t>
        </is>
      </c>
      <c r="B42" s="59" t="inlineStr">
        <is>
          <t>T20</t>
        </is>
      </c>
      <c r="C42" s="59" t="inlineStr">
        <is>
          <t>Lease Interest — Year 1</t>
        </is>
      </c>
      <c r="D42" s="59" t="inlineStr">
        <is>
          <t>Lease Liability</t>
        </is>
      </c>
      <c r="E42" s="60" t="inlineStr">
        <is>
          <t>Cr</t>
        </is>
      </c>
      <c r="F42" s="65" t="n">
        <v>207619</v>
      </c>
      <c r="G42" s="59" t="inlineStr">
        <is>
          <t>IFRS 16</t>
        </is>
      </c>
      <c r="H42" s="59" t="inlineStr">
        <is>
          <t>Operating</t>
        </is>
      </c>
      <c r="I42" s="62" t="n">
        <v>-1</v>
      </c>
    </row>
    <row r="43" ht="17" customHeight="1">
      <c r="A43" s="55" t="inlineStr">
        <is>
          <t>2024-02-01</t>
        </is>
      </c>
      <c r="B43" s="55" t="inlineStr">
        <is>
          <t>T21</t>
        </is>
      </c>
      <c r="C43" s="55" t="inlineStr">
        <is>
          <t>Provision for Legal Claim (IAS 37)</t>
        </is>
      </c>
      <c r="D43" s="55" t="inlineStr">
        <is>
          <t>Legal Expense — Provision</t>
        </is>
      </c>
      <c r="E43" s="56" t="inlineStr">
        <is>
          <t>Dr</t>
        </is>
      </c>
      <c r="F43" s="66" t="n">
        <v>300000</v>
      </c>
      <c r="G43" s="55" t="inlineStr">
        <is>
          <t>IAS 37</t>
        </is>
      </c>
      <c r="H43" s="55" t="inlineStr">
        <is>
          <t>Operating</t>
        </is>
      </c>
      <c r="I43" s="58" t="n">
        <v>1</v>
      </c>
    </row>
    <row r="44" ht="17" customHeight="1">
      <c r="A44" s="59" t="inlineStr">
        <is>
          <t>2024-02-01</t>
        </is>
      </c>
      <c r="B44" s="59" t="inlineStr">
        <is>
          <t>T21</t>
        </is>
      </c>
      <c r="C44" s="59" t="inlineStr">
        <is>
          <t>Provision for Legal Claim (IAS 37)</t>
        </is>
      </c>
      <c r="D44" s="59" t="inlineStr">
        <is>
          <t>Provision Liability</t>
        </is>
      </c>
      <c r="E44" s="60" t="inlineStr">
        <is>
          <t>Cr</t>
        </is>
      </c>
      <c r="F44" s="65" t="n">
        <v>300000</v>
      </c>
      <c r="G44" s="59" t="inlineStr">
        <is>
          <t>IAS 37</t>
        </is>
      </c>
      <c r="H44" s="59" t="inlineStr">
        <is>
          <t>Operating</t>
        </is>
      </c>
      <c r="I44" s="62" t="n">
        <v>-1</v>
      </c>
    </row>
    <row r="45" ht="17" customHeight="1">
      <c r="A45" s="55" t="inlineStr">
        <is>
          <t>2024-02-01</t>
        </is>
      </c>
      <c r="B45" s="55" t="inlineStr">
        <is>
          <t>T22</t>
        </is>
      </c>
      <c r="C45" s="55" t="inlineStr">
        <is>
          <t>Contingent Liability — Disclosure Only (IAS 37)</t>
        </is>
      </c>
      <c r="D45" s="55" t="inlineStr">
        <is>
          <t>[No JE — Disclosure]</t>
        </is>
      </c>
      <c r="E45" s="56" t="inlineStr">
        <is>
          <t>Dr</t>
        </is>
      </c>
      <c r="F45" s="66" t="n">
        <v>0</v>
      </c>
      <c r="G45" s="55" t="inlineStr">
        <is>
          <t>IAS 37</t>
        </is>
      </c>
      <c r="H45" s="55" t="inlineStr">
        <is>
          <t>Memo</t>
        </is>
      </c>
      <c r="I45" s="58" t="n">
        <v>0</v>
      </c>
    </row>
    <row r="46" ht="17" customHeight="1">
      <c r="A46" s="59" t="inlineStr">
        <is>
          <t>2024-02-01</t>
        </is>
      </c>
      <c r="B46" s="59" t="inlineStr">
        <is>
          <t>T23</t>
        </is>
      </c>
      <c r="C46" s="59" t="inlineStr">
        <is>
          <t>Impairment Indicator Assessment (IAS 36) — No JE</t>
        </is>
      </c>
      <c r="D46" s="59" t="inlineStr">
        <is>
          <t>[Assessment Only]</t>
        </is>
      </c>
      <c r="E46" s="64" t="inlineStr">
        <is>
          <t>Dr</t>
        </is>
      </c>
      <c r="F46" s="65" t="n">
        <v>0</v>
      </c>
      <c r="G46" s="59" t="inlineStr">
        <is>
          <t>IAS 36</t>
        </is>
      </c>
      <c r="H46" s="59" t="inlineStr">
        <is>
          <t>Memo</t>
        </is>
      </c>
      <c r="I46" s="62" t="n">
        <v>0</v>
      </c>
    </row>
    <row r="47" ht="17" customHeight="1">
      <c r="A47" s="55" t="inlineStr">
        <is>
          <t>2024-02-01</t>
        </is>
      </c>
      <c r="B47" s="55" t="inlineStr">
        <is>
          <t>T24</t>
        </is>
      </c>
      <c r="C47" s="55" t="inlineStr">
        <is>
          <t>Impairment Loss on Machinery</t>
        </is>
      </c>
      <c r="D47" s="55" t="inlineStr">
        <is>
          <t>Impairment Loss</t>
        </is>
      </c>
      <c r="E47" s="56" t="inlineStr">
        <is>
          <t>Dr</t>
        </is>
      </c>
      <c r="F47" s="66" t="n">
        <v>2000000</v>
      </c>
      <c r="G47" s="55" t="inlineStr">
        <is>
          <t>IAS 36</t>
        </is>
      </c>
      <c r="H47" s="55" t="inlineStr">
        <is>
          <t>Operating</t>
        </is>
      </c>
      <c r="I47" s="58" t="n">
        <v>1</v>
      </c>
    </row>
    <row r="48" ht="17" customHeight="1">
      <c r="A48" s="59" t="inlineStr">
        <is>
          <t>2024-02-01</t>
        </is>
      </c>
      <c r="B48" s="59" t="inlineStr">
        <is>
          <t>T24</t>
        </is>
      </c>
      <c r="C48" s="59" t="inlineStr">
        <is>
          <t>Impairment Loss on Machinery</t>
        </is>
      </c>
      <c r="D48" s="59" t="inlineStr">
        <is>
          <t>Accum. Impairment — Machinery</t>
        </is>
      </c>
      <c r="E48" s="60" t="inlineStr">
        <is>
          <t>Cr</t>
        </is>
      </c>
      <c r="F48" s="65" t="n">
        <v>2000000</v>
      </c>
      <c r="G48" s="59" t="inlineStr">
        <is>
          <t>IAS 36</t>
        </is>
      </c>
      <c r="H48" s="59" t="inlineStr">
        <is>
          <t>Operating</t>
        </is>
      </c>
      <c r="I48" s="62" t="n">
        <v>-1</v>
      </c>
    </row>
    <row r="49" ht="17" customHeight="1">
      <c r="A49" s="55" t="inlineStr">
        <is>
          <t>2024-02-01</t>
        </is>
      </c>
      <c r="B49" s="55" t="inlineStr">
        <is>
          <t>T25</t>
        </is>
      </c>
      <c r="C49" s="55" t="inlineStr">
        <is>
          <t>Amortisation — Dev Cost (10yr SL)</t>
        </is>
      </c>
      <c r="D49" s="55" t="inlineStr">
        <is>
          <t>Amortisation Expense</t>
        </is>
      </c>
      <c r="E49" s="56" t="inlineStr">
        <is>
          <t>Dr</t>
        </is>
      </c>
      <c r="F49" s="66" t="n">
        <v>1833</v>
      </c>
      <c r="G49" s="55" t="inlineStr">
        <is>
          <t>IAS 38</t>
        </is>
      </c>
      <c r="H49" s="55" t="inlineStr">
        <is>
          <t>Operating</t>
        </is>
      </c>
      <c r="I49" s="58" t="n">
        <v>1</v>
      </c>
    </row>
    <row r="50" ht="17" customHeight="1">
      <c r="A50" s="59" t="inlineStr">
        <is>
          <t>2024-02-01</t>
        </is>
      </c>
      <c r="B50" s="59" t="inlineStr">
        <is>
          <t>T25</t>
        </is>
      </c>
      <c r="C50" s="59" t="inlineStr">
        <is>
          <t>Amortisation — Dev Cost (10yr SL)</t>
        </is>
      </c>
      <c r="D50" s="59" t="inlineStr">
        <is>
          <t>Accum. Amortisation — Intangible</t>
        </is>
      </c>
      <c r="E50" s="60" t="inlineStr">
        <is>
          <t>Cr</t>
        </is>
      </c>
      <c r="F50" s="65" t="n">
        <v>1833</v>
      </c>
      <c r="G50" s="59" t="inlineStr">
        <is>
          <t>IAS 38</t>
        </is>
      </c>
      <c r="H50" s="59" t="inlineStr">
        <is>
          <t>Operating</t>
        </is>
      </c>
      <c r="I50" s="62" t="n">
        <v>-1</v>
      </c>
    </row>
    <row r="51" ht="17" customHeight="1">
      <c r="A51" s="55" t="inlineStr">
        <is>
          <t>2024-02-15</t>
        </is>
      </c>
      <c r="B51" s="55" t="inlineStr">
        <is>
          <t>T26</t>
        </is>
      </c>
      <c r="C51" s="55" t="inlineStr">
        <is>
          <t>Treasury Share Buyback (IAS 32)</t>
        </is>
      </c>
      <c r="D51" s="55" t="inlineStr">
        <is>
          <t>Treasury Shares</t>
        </is>
      </c>
      <c r="E51" s="56" t="inlineStr">
        <is>
          <t>Dr</t>
        </is>
      </c>
      <c r="F51" s="66" t="n">
        <v>300000</v>
      </c>
      <c r="G51" s="55" t="inlineStr">
        <is>
          <t>IAS 32</t>
        </is>
      </c>
      <c r="H51" s="55" t="inlineStr">
        <is>
          <t>Equity</t>
        </is>
      </c>
      <c r="I51" s="58" t="n">
        <v>1</v>
      </c>
    </row>
    <row r="52" ht="17" customHeight="1">
      <c r="A52" s="59" t="inlineStr">
        <is>
          <t>2024-02-15</t>
        </is>
      </c>
      <c r="B52" s="59" t="inlineStr">
        <is>
          <t>T26</t>
        </is>
      </c>
      <c r="C52" s="59" t="inlineStr">
        <is>
          <t>Treasury Share Buyback (IAS 32)</t>
        </is>
      </c>
      <c r="D52" s="59" t="inlineStr">
        <is>
          <t>Cash</t>
        </is>
      </c>
      <c r="E52" s="60" t="inlineStr">
        <is>
          <t>Cr</t>
        </is>
      </c>
      <c r="F52" s="65" t="n">
        <v>300000</v>
      </c>
      <c r="G52" s="59" t="inlineStr">
        <is>
          <t>IAS 32</t>
        </is>
      </c>
      <c r="H52" s="59" t="inlineStr">
        <is>
          <t>Equity</t>
        </is>
      </c>
      <c r="I52" s="62" t="n">
        <v>-1</v>
      </c>
    </row>
    <row r="53" ht="17" customHeight="1">
      <c r="A53" s="55" t="inlineStr">
        <is>
          <t>2024-03-01</t>
        </is>
      </c>
      <c r="B53" s="55" t="inlineStr">
        <is>
          <t>T27</t>
        </is>
      </c>
      <c r="C53" s="55" t="inlineStr">
        <is>
          <t>Dividend Declaration</t>
        </is>
      </c>
      <c r="D53" s="55" t="inlineStr">
        <is>
          <t>Retained Earnings</t>
        </is>
      </c>
      <c r="E53" s="56" t="inlineStr">
        <is>
          <t>Dr</t>
        </is>
      </c>
      <c r="F53" s="66" t="n">
        <v>810000</v>
      </c>
      <c r="G53" s="55" t="inlineStr">
        <is>
          <t>IAS 1</t>
        </is>
      </c>
      <c r="H53" s="55" t="inlineStr">
        <is>
          <t>Equity</t>
        </is>
      </c>
      <c r="I53" s="58" t="n">
        <v>1</v>
      </c>
    </row>
    <row r="54" ht="17" customHeight="1">
      <c r="A54" s="59" t="inlineStr">
        <is>
          <t>2024-03-01</t>
        </is>
      </c>
      <c r="B54" s="59" t="inlineStr">
        <is>
          <t>T27</t>
        </is>
      </c>
      <c r="C54" s="59" t="inlineStr">
        <is>
          <t>Dividend Declaration</t>
        </is>
      </c>
      <c r="D54" s="59" t="inlineStr">
        <is>
          <t>Dividend Payable</t>
        </is>
      </c>
      <c r="E54" s="60" t="inlineStr">
        <is>
          <t>Cr</t>
        </is>
      </c>
      <c r="F54" s="65" t="n">
        <v>810000</v>
      </c>
      <c r="G54" s="59" t="inlineStr">
        <is>
          <t>IAS 1</t>
        </is>
      </c>
      <c r="H54" s="59" t="inlineStr">
        <is>
          <t>Equity</t>
        </is>
      </c>
      <c r="I54" s="62" t="n">
        <v>-1</v>
      </c>
    </row>
    <row r="55" ht="17" customHeight="1">
      <c r="A55" s="55" t="inlineStr">
        <is>
          <t>2024-03-15</t>
        </is>
      </c>
      <c r="B55" s="55" t="inlineStr">
        <is>
          <t>T28</t>
        </is>
      </c>
      <c r="C55" s="55" t="inlineStr">
        <is>
          <t>Dividend Payment</t>
        </is>
      </c>
      <c r="D55" s="55" t="inlineStr">
        <is>
          <t>Dividend Payable</t>
        </is>
      </c>
      <c r="E55" s="56" t="inlineStr">
        <is>
          <t>Dr</t>
        </is>
      </c>
      <c r="F55" s="66" t="n">
        <v>810000</v>
      </c>
      <c r="G55" s="55" t="inlineStr">
        <is>
          <t>IAS 1</t>
        </is>
      </c>
      <c r="H55" s="55" t="inlineStr">
        <is>
          <t>Equity</t>
        </is>
      </c>
      <c r="I55" s="58" t="n">
        <v>1</v>
      </c>
    </row>
    <row r="56" ht="17" customHeight="1">
      <c r="A56" s="59" t="inlineStr">
        <is>
          <t>2024-03-15</t>
        </is>
      </c>
      <c r="B56" s="59" t="inlineStr">
        <is>
          <t>T28</t>
        </is>
      </c>
      <c r="C56" s="59" t="inlineStr">
        <is>
          <t>Dividend Payment</t>
        </is>
      </c>
      <c r="D56" s="59" t="inlineStr">
        <is>
          <t>Cash</t>
        </is>
      </c>
      <c r="E56" s="60" t="inlineStr">
        <is>
          <t>Cr</t>
        </is>
      </c>
      <c r="F56" s="65" t="n">
        <v>810000</v>
      </c>
      <c r="G56" s="59" t="inlineStr">
        <is>
          <t>IAS 1</t>
        </is>
      </c>
      <c r="H56" s="59" t="inlineStr">
        <is>
          <t>Equity</t>
        </is>
      </c>
      <c r="I56" s="62" t="n">
        <v>-1</v>
      </c>
    </row>
    <row r="57" ht="17" customHeight="1">
      <c r="A57" s="55" t="inlineStr">
        <is>
          <t>2024-03-20</t>
        </is>
      </c>
      <c r="B57" s="55" t="inlineStr">
        <is>
          <t>T29</t>
        </is>
      </c>
      <c r="C57" s="55" t="inlineStr">
        <is>
          <t>Bonus Issue — Capitalisation</t>
        </is>
      </c>
      <c r="D57" s="55" t="inlineStr">
        <is>
          <t>Retained Earnings</t>
        </is>
      </c>
      <c r="E57" s="56" t="inlineStr">
        <is>
          <t>Dr</t>
        </is>
      </c>
      <c r="F57" s="66" t="n">
        <v>275000</v>
      </c>
      <c r="G57" s="55" t="inlineStr">
        <is>
          <t>IAS 1</t>
        </is>
      </c>
      <c r="H57" s="55" t="inlineStr">
        <is>
          <t>Equity</t>
        </is>
      </c>
      <c r="I57" s="58" t="n">
        <v>1</v>
      </c>
    </row>
    <row r="58" ht="17" customHeight="1">
      <c r="A58" s="59" t="inlineStr">
        <is>
          <t>2024-03-20</t>
        </is>
      </c>
      <c r="B58" s="59" t="inlineStr">
        <is>
          <t>T29</t>
        </is>
      </c>
      <c r="C58" s="59" t="inlineStr">
        <is>
          <t>Bonus Issue — Capitalisation</t>
        </is>
      </c>
      <c r="D58" s="59" t="inlineStr">
        <is>
          <t>Share Capital</t>
        </is>
      </c>
      <c r="E58" s="60" t="inlineStr">
        <is>
          <t>Cr</t>
        </is>
      </c>
      <c r="F58" s="65" t="n">
        <v>275000</v>
      </c>
      <c r="G58" s="59" t="inlineStr">
        <is>
          <t>IAS 1</t>
        </is>
      </c>
      <c r="H58" s="59" t="inlineStr">
        <is>
          <t>Equity</t>
        </is>
      </c>
      <c r="I58" s="62" t="n">
        <v>-1</v>
      </c>
    </row>
    <row r="59" ht="17" customHeight="1">
      <c r="A59" s="55" t="inlineStr">
        <is>
          <t>2024-04-01</t>
        </is>
      </c>
      <c r="B59" s="55" t="inlineStr">
        <is>
          <t>T30</t>
        </is>
      </c>
      <c r="C59" s="55" t="inlineStr">
        <is>
          <t>Private Placement</t>
        </is>
      </c>
      <c r="D59" s="55" t="inlineStr">
        <is>
          <t>Cash</t>
        </is>
      </c>
      <c r="E59" s="56" t="inlineStr">
        <is>
          <t>Dr</t>
        </is>
      </c>
      <c r="F59" s="66" t="n">
        <v>1650000</v>
      </c>
      <c r="G59" s="55" t="inlineStr">
        <is>
          <t>IAS 1</t>
        </is>
      </c>
      <c r="H59" s="55" t="inlineStr">
        <is>
          <t>Equity</t>
        </is>
      </c>
      <c r="I59" s="58" t="n">
        <v>1</v>
      </c>
    </row>
    <row r="60" ht="17" customHeight="1">
      <c r="A60" s="59" t="inlineStr">
        <is>
          <t>2024-04-01</t>
        </is>
      </c>
      <c r="B60" s="59" t="inlineStr">
        <is>
          <t>T30</t>
        </is>
      </c>
      <c r="C60" s="59" t="inlineStr">
        <is>
          <t>Private Placement — Share Capital</t>
        </is>
      </c>
      <c r="D60" s="59" t="inlineStr">
        <is>
          <t>Share Capital</t>
        </is>
      </c>
      <c r="E60" s="60" t="inlineStr">
        <is>
          <t>Cr</t>
        </is>
      </c>
      <c r="F60" s="65" t="n">
        <v>500000</v>
      </c>
      <c r="G60" s="59" t="inlineStr">
        <is>
          <t>IAS 1</t>
        </is>
      </c>
      <c r="H60" s="59" t="inlineStr">
        <is>
          <t>Equity</t>
        </is>
      </c>
      <c r="I60" s="62" t="n">
        <v>-1</v>
      </c>
    </row>
    <row r="61" ht="17" customHeight="1">
      <c r="A61" s="55" t="inlineStr">
        <is>
          <t>2024-04-01</t>
        </is>
      </c>
      <c r="B61" s="55" t="inlineStr">
        <is>
          <t>T30</t>
        </is>
      </c>
      <c r="C61" s="55" t="inlineStr">
        <is>
          <t>Private Placement — Share Premium</t>
        </is>
      </c>
      <c r="D61" s="55" t="inlineStr">
        <is>
          <t>Share Premium</t>
        </is>
      </c>
      <c r="E61" s="63" t="inlineStr">
        <is>
          <t>Cr</t>
        </is>
      </c>
      <c r="F61" s="66" t="n">
        <v>1150000</v>
      </c>
      <c r="G61" s="55" t="inlineStr">
        <is>
          <t>IAS 1</t>
        </is>
      </c>
      <c r="H61" s="55" t="inlineStr">
        <is>
          <t>Equity</t>
        </is>
      </c>
      <c r="I61" s="58" t="n">
        <v>-1</v>
      </c>
    </row>
    <row r="62" ht="17" customHeight="1">
      <c r="A62" s="59" t="inlineStr">
        <is>
          <t>2024-12-31</t>
        </is>
      </c>
      <c r="B62" s="59" t="inlineStr">
        <is>
          <t>T31</t>
        </is>
      </c>
      <c r="C62" s="59" t="inlineStr">
        <is>
          <t>Depreciation — Machinery (SL 60yr)</t>
        </is>
      </c>
      <c r="D62" s="59" t="inlineStr">
        <is>
          <t>Depreciation Expense</t>
        </is>
      </c>
      <c r="E62" s="64" t="inlineStr">
        <is>
          <t>Dr</t>
        </is>
      </c>
      <c r="F62" s="65" t="n">
        <v>333333</v>
      </c>
      <c r="G62" s="59" t="inlineStr">
        <is>
          <t>IAS 16</t>
        </is>
      </c>
      <c r="H62" s="59" t="inlineStr">
        <is>
          <t>Operating</t>
        </is>
      </c>
      <c r="I62" s="62" t="n">
        <v>1</v>
      </c>
    </row>
    <row r="63" ht="17" customHeight="1">
      <c r="A63" s="55" t="inlineStr">
        <is>
          <t>2024-12-31</t>
        </is>
      </c>
      <c r="B63" s="55" t="inlineStr">
        <is>
          <t>T31</t>
        </is>
      </c>
      <c r="C63" s="55" t="inlineStr">
        <is>
          <t>Depreciation — Machinery (SL 60yr)</t>
        </is>
      </c>
      <c r="D63" s="55" t="inlineStr">
        <is>
          <t>Accum. Depreciation — Machinery</t>
        </is>
      </c>
      <c r="E63" s="63" t="inlineStr">
        <is>
          <t>Cr</t>
        </is>
      </c>
      <c r="F63" s="66" t="n">
        <v>333333</v>
      </c>
      <c r="G63" s="55" t="inlineStr">
        <is>
          <t>IAS 16</t>
        </is>
      </c>
      <c r="H63" s="55" t="inlineStr">
        <is>
          <t>Operating</t>
        </is>
      </c>
      <c r="I63" s="58" t="n">
        <v>-1</v>
      </c>
    </row>
    <row r="64" ht="17" customHeight="1">
      <c r="A64" s="59" t="inlineStr">
        <is>
          <t>2024-01-01</t>
        </is>
      </c>
      <c r="B64" s="59" t="inlineStr">
        <is>
          <t>T32</t>
        </is>
      </c>
      <c r="C64" s="59" t="inlineStr">
        <is>
          <t>Prepaid Insurance</t>
        </is>
      </c>
      <c r="D64" s="59" t="inlineStr">
        <is>
          <t>Prepaid Insurance</t>
        </is>
      </c>
      <c r="E64" s="64" t="inlineStr">
        <is>
          <t>Dr</t>
        </is>
      </c>
      <c r="F64" s="65" t="n">
        <v>120000</v>
      </c>
      <c r="G64" s="59" t="inlineStr">
        <is>
          <t>IAS 1</t>
        </is>
      </c>
      <c r="H64" s="59" t="inlineStr">
        <is>
          <t>Operating</t>
        </is>
      </c>
      <c r="I64" s="62" t="n">
        <v>1</v>
      </c>
    </row>
    <row r="65" ht="17" customHeight="1">
      <c r="A65" s="55" t="inlineStr">
        <is>
          <t>2024-01-01</t>
        </is>
      </c>
      <c r="B65" s="55" t="inlineStr">
        <is>
          <t>T32</t>
        </is>
      </c>
      <c r="C65" s="55" t="inlineStr">
        <is>
          <t>Prepaid Insurance</t>
        </is>
      </c>
      <c r="D65" s="55" t="inlineStr">
        <is>
          <t>Cash</t>
        </is>
      </c>
      <c r="E65" s="63" t="inlineStr">
        <is>
          <t>Cr</t>
        </is>
      </c>
      <c r="F65" s="66" t="n">
        <v>120000</v>
      </c>
      <c r="G65" s="55" t="inlineStr">
        <is>
          <t>IAS 1</t>
        </is>
      </c>
      <c r="H65" s="55" t="inlineStr">
        <is>
          <t>Operating</t>
        </is>
      </c>
      <c r="I65" s="58" t="n">
        <v>-1</v>
      </c>
    </row>
    <row r="66" ht="17" customHeight="1">
      <c r="A66" s="59" t="inlineStr">
        <is>
          <t>2024-01-31</t>
        </is>
      </c>
      <c r="B66" s="59" t="inlineStr">
        <is>
          <t>T33</t>
        </is>
      </c>
      <c r="C66" s="59" t="inlineStr">
        <is>
          <t>Insurance Expense (1 month recognised)</t>
        </is>
      </c>
      <c r="D66" s="59" t="inlineStr">
        <is>
          <t>Insurance Expense</t>
        </is>
      </c>
      <c r="E66" s="64" t="inlineStr">
        <is>
          <t>Dr</t>
        </is>
      </c>
      <c r="F66" s="65" t="n">
        <v>10000</v>
      </c>
      <c r="G66" s="59" t="inlineStr">
        <is>
          <t>IAS 1</t>
        </is>
      </c>
      <c r="H66" s="59" t="inlineStr">
        <is>
          <t>Operating</t>
        </is>
      </c>
      <c r="I66" s="62" t="n">
        <v>1</v>
      </c>
    </row>
    <row r="67" ht="17" customHeight="1">
      <c r="A67" s="55" t="inlineStr">
        <is>
          <t>2024-01-31</t>
        </is>
      </c>
      <c r="B67" s="55" t="inlineStr">
        <is>
          <t>T33</t>
        </is>
      </c>
      <c r="C67" s="55" t="inlineStr">
        <is>
          <t>Insurance Expense (1 month recognised)</t>
        </is>
      </c>
      <c r="D67" s="55" t="inlineStr">
        <is>
          <t>Prepaid Insurance</t>
        </is>
      </c>
      <c r="E67" s="63" t="inlineStr">
        <is>
          <t>Cr</t>
        </is>
      </c>
      <c r="F67" s="66" t="n">
        <v>10000</v>
      </c>
      <c r="G67" s="55" t="inlineStr">
        <is>
          <t>IAS 1</t>
        </is>
      </c>
      <c r="H67" s="55" t="inlineStr">
        <is>
          <t>Operating</t>
        </is>
      </c>
      <c r="I67" s="58" t="n">
        <v>-1</v>
      </c>
    </row>
    <row r="68" ht="17" customHeight="1">
      <c r="A68" s="59" t="inlineStr">
        <is>
          <t>2024-12-31</t>
        </is>
      </c>
      <c r="B68" s="59" t="inlineStr">
        <is>
          <t>T34</t>
        </is>
      </c>
      <c r="C68" s="59" t="inlineStr">
        <is>
          <t>Utilities Accrual</t>
        </is>
      </c>
      <c r="D68" s="59" t="inlineStr">
        <is>
          <t>Utilities Expense</t>
        </is>
      </c>
      <c r="E68" s="64" t="inlineStr">
        <is>
          <t>Dr</t>
        </is>
      </c>
      <c r="F68" s="65" t="n">
        <v>20000</v>
      </c>
      <c r="G68" s="59" t="inlineStr">
        <is>
          <t>IAS 1</t>
        </is>
      </c>
      <c r="H68" s="59" t="inlineStr">
        <is>
          <t>Operating</t>
        </is>
      </c>
      <c r="I68" s="62" t="n">
        <v>1</v>
      </c>
    </row>
    <row r="69" ht="17" customHeight="1">
      <c r="A69" s="55" t="inlineStr">
        <is>
          <t>2024-12-31</t>
        </is>
      </c>
      <c r="B69" s="55" t="inlineStr">
        <is>
          <t>T34</t>
        </is>
      </c>
      <c r="C69" s="55" t="inlineStr">
        <is>
          <t>Utilities Accrual</t>
        </is>
      </c>
      <c r="D69" s="55" t="inlineStr">
        <is>
          <t>Utilities Payable</t>
        </is>
      </c>
      <c r="E69" s="63" t="inlineStr">
        <is>
          <t>Cr</t>
        </is>
      </c>
      <c r="F69" s="66" t="n">
        <v>20000</v>
      </c>
      <c r="G69" s="55" t="inlineStr">
        <is>
          <t>IAS 1</t>
        </is>
      </c>
      <c r="H69" s="55" t="inlineStr">
        <is>
          <t>Operating</t>
        </is>
      </c>
      <c r="I69" s="58" t="n">
        <v>-1</v>
      </c>
    </row>
    <row r="70" ht="17" customHeight="1">
      <c r="A70" s="59" t="inlineStr">
        <is>
          <t>2024-12-31</t>
        </is>
      </c>
      <c r="B70" s="59" t="inlineStr">
        <is>
          <t>T35</t>
        </is>
      </c>
      <c r="C70" s="59" t="inlineStr">
        <is>
          <t>Salaries Expense</t>
        </is>
      </c>
      <c r="D70" s="59" t="inlineStr">
        <is>
          <t>Salaries Expense</t>
        </is>
      </c>
      <c r="E70" s="64" t="inlineStr">
        <is>
          <t>Dr</t>
        </is>
      </c>
      <c r="F70" s="65" t="n">
        <v>150000</v>
      </c>
      <c r="G70" s="59" t="inlineStr">
        <is>
          <t>IAS 1</t>
        </is>
      </c>
      <c r="H70" s="59" t="inlineStr">
        <is>
          <t>Operating</t>
        </is>
      </c>
      <c r="I70" s="62" t="n">
        <v>1</v>
      </c>
    </row>
    <row r="71" ht="17" customHeight="1">
      <c r="A71" s="55" t="inlineStr">
        <is>
          <t>2024-12-31</t>
        </is>
      </c>
      <c r="B71" s="55" t="inlineStr">
        <is>
          <t>T35</t>
        </is>
      </c>
      <c r="C71" s="55" t="inlineStr">
        <is>
          <t>Salaries Expense</t>
        </is>
      </c>
      <c r="D71" s="55" t="inlineStr">
        <is>
          <t>Cash</t>
        </is>
      </c>
      <c r="E71" s="63" t="inlineStr">
        <is>
          <t>Cr</t>
        </is>
      </c>
      <c r="F71" s="66" t="n">
        <v>150000</v>
      </c>
      <c r="G71" s="55" t="inlineStr">
        <is>
          <t>IAS 1</t>
        </is>
      </c>
      <c r="H71" s="55" t="inlineStr">
        <is>
          <t>Operating</t>
        </is>
      </c>
      <c r="I71" s="58" t="n">
        <v>-1</v>
      </c>
    </row>
    <row r="72">
      <c r="C72" s="67" t="inlineStr">
        <is>
          <t>TOTAL DEBITS / CREDITS</t>
        </is>
      </c>
      <c r="F72" s="68">
        <f>SUMPRODUCT((I3:I71=1)*F3:F71)</f>
        <v/>
      </c>
    </row>
    <row r="73">
      <c r="C73" s="67" t="inlineStr">
        <is>
          <t>Balance Check (Dr = Cr):</t>
        </is>
      </c>
      <c r="F73" s="69">
        <f>IF(ABS(SUMPRODUCT((I3:I71=1)*F3:F71)-SUMPRODUCT((I3:I71=-1)*F3:F71))&lt;1,"✔ BALANCED","✘ CHECK ENTRIES")</f>
        <v/>
      </c>
    </row>
  </sheetData>
  <mergeCells count="1">
    <mergeCell ref="A1:I1"/>
  </mergeCells>
  <pageMargins left="0.75" right="0.75" top="1" bottom="1" header="0.5" footer="0.5"/>
</worksheet>
</file>

<file path=xl/worksheets/sheet4.xml><?xml version="1.0" encoding="utf-8"?>
<worksheet xmlns="http://schemas.openxmlformats.org/spreadsheetml/2006/main">
  <sheetPr>
    <tabColor rgb="001E8449"/>
    <outlinePr summaryBelow="1" summaryRight="1"/>
    <pageSetUpPr/>
  </sheetPr>
  <dimension ref="A1:G38"/>
  <sheetViews>
    <sheetView showGridLines="0" workbookViewId="0">
      <selection activeCell="A1" sqref="A1"/>
    </sheetView>
  </sheetViews>
  <sheetFormatPr baseColWidth="8" defaultRowHeight="15"/>
  <cols>
    <col width="38" customWidth="1" min="1" max="1"/>
    <col width="14" customWidth="1" min="2" max="2"/>
    <col width="14" customWidth="1" min="3" max="3"/>
    <col width="18" customWidth="1" min="4" max="4"/>
    <col width="18" customWidth="1" min="5" max="5"/>
    <col width="18" customWidth="1" min="6" max="6"/>
    <col width="12" customWidth="1" min="7" max="7"/>
  </cols>
  <sheetData>
    <row r="1" ht="30" customHeight="1">
      <c r="A1" s="70" t="inlineStr">
        <is>
          <t>GENERAL LEDGER — Auto-Posting from Journal via SUMIF</t>
        </is>
      </c>
    </row>
    <row r="2" ht="20" customHeight="1">
      <c r="A2" s="43" t="inlineStr">
        <is>
          <t>Account</t>
        </is>
      </c>
      <c r="B2" s="43" t="inlineStr">
        <is>
          <t>Type</t>
        </is>
      </c>
      <c r="C2" s="43" t="inlineStr">
        <is>
          <t>Class</t>
        </is>
      </c>
      <c r="D2" s="43" t="inlineStr">
        <is>
          <t>Total Debits</t>
        </is>
      </c>
      <c r="E2" s="43" t="inlineStr">
        <is>
          <t>Total Credits</t>
        </is>
      </c>
      <c r="F2" s="43" t="inlineStr">
        <is>
          <t>Net Balance</t>
        </is>
      </c>
      <c r="G2" s="43" t="inlineStr">
        <is>
          <t>Normal Side</t>
        </is>
      </c>
    </row>
    <row r="3">
      <c r="A3" s="71" t="inlineStr">
        <is>
          <t>Cash</t>
        </is>
      </c>
      <c r="B3" s="55" t="inlineStr">
        <is>
          <t>Asset</t>
        </is>
      </c>
      <c r="C3" s="55" t="inlineStr">
        <is>
          <t>Dr-side</t>
        </is>
      </c>
      <c r="D3" s="66">
        <f>SUMPRODUCT((Journal!D3:D71=A3)*(Journal!I3:I71=1)*Journal!F3:F71)</f>
        <v/>
      </c>
      <c r="E3" s="66">
        <f>SUMPRODUCT((Journal!D3:D71=A3)*(Journal!I3:I71=-1)*Journal!F3:F71)</f>
        <v/>
      </c>
      <c r="F3" s="66">
        <f>D3-E3</f>
        <v/>
      </c>
      <c r="G3" s="72" t="inlineStr">
        <is>
          <t>Dr</t>
        </is>
      </c>
    </row>
    <row r="4">
      <c r="A4" s="73" t="inlineStr">
        <is>
          <t>Accounts Receivable</t>
        </is>
      </c>
      <c r="B4" s="59" t="inlineStr">
        <is>
          <t>Asset</t>
        </is>
      </c>
      <c r="C4" s="59" t="inlineStr">
        <is>
          <t>Dr-side</t>
        </is>
      </c>
      <c r="D4" s="65">
        <f>SUMPRODUCT((Journal!D3:D71=A4)*(Journal!I3:I71=1)*Journal!F3:F71)</f>
        <v/>
      </c>
      <c r="E4" s="65">
        <f>SUMPRODUCT((Journal!D3:D71=A4)*(Journal!I3:I71=-1)*Journal!F3:F71)</f>
        <v/>
      </c>
      <c r="F4" s="65">
        <f>D4-E4</f>
        <v/>
      </c>
      <c r="G4" s="74" t="inlineStr">
        <is>
          <t>Dr</t>
        </is>
      </c>
    </row>
    <row r="5">
      <c r="A5" s="71" t="inlineStr">
        <is>
          <t>Inventory</t>
        </is>
      </c>
      <c r="B5" s="55" t="inlineStr">
        <is>
          <t>Asset</t>
        </is>
      </c>
      <c r="C5" s="55" t="inlineStr">
        <is>
          <t>Dr-side</t>
        </is>
      </c>
      <c r="D5" s="66">
        <f>SUMPRODUCT((Journal!D3:D71=A5)*(Journal!I3:I71=1)*Journal!F3:F71)</f>
        <v/>
      </c>
      <c r="E5" s="66">
        <f>SUMPRODUCT((Journal!D3:D71=A5)*(Journal!I3:I71=-1)*Journal!F3:F71)</f>
        <v/>
      </c>
      <c r="F5" s="66">
        <f>D5-E5</f>
        <v/>
      </c>
      <c r="G5" s="72" t="inlineStr">
        <is>
          <t>Dr</t>
        </is>
      </c>
    </row>
    <row r="6">
      <c r="A6" s="73" t="inlineStr">
        <is>
          <t>Prepaid Insurance</t>
        </is>
      </c>
      <c r="B6" s="59" t="inlineStr">
        <is>
          <t>Asset</t>
        </is>
      </c>
      <c r="C6" s="59" t="inlineStr">
        <is>
          <t>Dr-side</t>
        </is>
      </c>
      <c r="D6" s="65">
        <f>SUMPRODUCT((Journal!D3:D71=A6)*(Journal!I3:I71=1)*Journal!F3:F71)</f>
        <v/>
      </c>
      <c r="E6" s="65">
        <f>SUMPRODUCT((Journal!D3:D71=A6)*(Journal!I3:I71=-1)*Journal!F3:F71)</f>
        <v/>
      </c>
      <c r="F6" s="65">
        <f>D6-E6</f>
        <v/>
      </c>
      <c r="G6" s="74" t="inlineStr">
        <is>
          <t>Dr</t>
        </is>
      </c>
    </row>
    <row r="7">
      <c r="A7" s="71" t="inlineStr">
        <is>
          <t>Machinery</t>
        </is>
      </c>
      <c r="B7" s="55" t="inlineStr">
        <is>
          <t>Asset</t>
        </is>
      </c>
      <c r="C7" s="55" t="inlineStr">
        <is>
          <t>Dr-side</t>
        </is>
      </c>
      <c r="D7" s="66">
        <f>SUMPRODUCT((Journal!D3:D71=A7)*(Journal!I3:I71=1)*Journal!F3:F71)</f>
        <v/>
      </c>
      <c r="E7" s="66">
        <f>SUMPRODUCT((Journal!D3:D71=A7)*(Journal!I3:I71=-1)*Journal!F3:F71)</f>
        <v/>
      </c>
      <c r="F7" s="66">
        <f>D7-E7</f>
        <v/>
      </c>
      <c r="G7" s="72" t="inlineStr">
        <is>
          <t>Dr</t>
        </is>
      </c>
    </row>
    <row r="8">
      <c r="A8" s="73" t="inlineStr">
        <is>
          <t>Land</t>
        </is>
      </c>
      <c r="B8" s="59" t="inlineStr">
        <is>
          <t>Asset</t>
        </is>
      </c>
      <c r="C8" s="59" t="inlineStr">
        <is>
          <t>Dr-side</t>
        </is>
      </c>
      <c r="D8" s="65">
        <f>SUMPRODUCT((Journal!D3:D71=A8)*(Journal!I3:I71=1)*Journal!F3:F71)</f>
        <v/>
      </c>
      <c r="E8" s="65">
        <f>SUMPRODUCT((Journal!D3:D71=A8)*(Journal!I3:I71=-1)*Journal!F3:F71)</f>
        <v/>
      </c>
      <c r="F8" s="65">
        <f>D8-E8</f>
        <v/>
      </c>
      <c r="G8" s="74" t="inlineStr">
        <is>
          <t>Dr</t>
        </is>
      </c>
    </row>
    <row r="9">
      <c r="A9" s="71" t="inlineStr">
        <is>
          <t>Right-of-Use Asset</t>
        </is>
      </c>
      <c r="B9" s="55" t="inlineStr">
        <is>
          <t>Asset</t>
        </is>
      </c>
      <c r="C9" s="55" t="inlineStr">
        <is>
          <t>Dr-side</t>
        </is>
      </c>
      <c r="D9" s="66">
        <f>SUMPRODUCT((Journal!D3:D71=A9)*(Journal!I3:I71=1)*Journal!F3:F71)</f>
        <v/>
      </c>
      <c r="E9" s="66">
        <f>SUMPRODUCT((Journal!D3:D71=A9)*(Journal!I3:I71=-1)*Journal!F3:F71)</f>
        <v/>
      </c>
      <c r="F9" s="66">
        <f>D9-E9</f>
        <v/>
      </c>
      <c r="G9" s="72" t="inlineStr">
        <is>
          <t>Dr</t>
        </is>
      </c>
    </row>
    <row r="10">
      <c r="A10" s="73" t="inlineStr">
        <is>
          <t>Intangible Asset — Dev Cost</t>
        </is>
      </c>
      <c r="B10" s="59" t="inlineStr">
        <is>
          <t>Asset</t>
        </is>
      </c>
      <c r="C10" s="59" t="inlineStr">
        <is>
          <t>Dr-side</t>
        </is>
      </c>
      <c r="D10" s="65">
        <f>SUMPRODUCT((Journal!D3:D71=A10)*(Journal!I3:I71=1)*Journal!F3:F71)</f>
        <v/>
      </c>
      <c r="E10" s="65">
        <f>SUMPRODUCT((Journal!D3:D71=A10)*(Journal!I3:I71=-1)*Journal!F3:F71)</f>
        <v/>
      </c>
      <c r="F10" s="65">
        <f>D10-E10</f>
        <v/>
      </c>
      <c r="G10" s="74" t="inlineStr">
        <is>
          <t>Dr</t>
        </is>
      </c>
    </row>
    <row r="11">
      <c r="A11" s="55" t="inlineStr">
        <is>
          <t>Accum. Depreciation — Machinery</t>
        </is>
      </c>
      <c r="B11" s="55" t="inlineStr">
        <is>
          <t>Contra</t>
        </is>
      </c>
      <c r="C11" s="55" t="inlineStr">
        <is>
          <t>Cr-side</t>
        </is>
      </c>
      <c r="D11" s="66">
        <f>SUMPRODUCT((Journal!D3:D71=A11)*(Journal!I3:I71=1)*Journal!F3:F71)</f>
        <v/>
      </c>
      <c r="E11" s="66">
        <f>SUMPRODUCT((Journal!D3:D71=A11)*(Journal!I3:I71=-1)*Journal!F3:F71)</f>
        <v/>
      </c>
      <c r="F11" s="66">
        <f>E11-D11</f>
        <v/>
      </c>
      <c r="G11" s="72" t="inlineStr">
        <is>
          <t>Cr</t>
        </is>
      </c>
    </row>
    <row r="12">
      <c r="A12" s="59" t="inlineStr">
        <is>
          <t>Accum. Impairment — Machinery</t>
        </is>
      </c>
      <c r="B12" s="59" t="inlineStr">
        <is>
          <t>Contra</t>
        </is>
      </c>
      <c r="C12" s="59" t="inlineStr">
        <is>
          <t>Cr-side</t>
        </is>
      </c>
      <c r="D12" s="65">
        <f>SUMPRODUCT((Journal!D3:D71=A12)*(Journal!I3:I71=1)*Journal!F3:F71)</f>
        <v/>
      </c>
      <c r="E12" s="65">
        <f>SUMPRODUCT((Journal!D3:D71=A12)*(Journal!I3:I71=-1)*Journal!F3:F71)</f>
        <v/>
      </c>
      <c r="F12" s="65">
        <f>E12-D12</f>
        <v/>
      </c>
      <c r="G12" s="74" t="inlineStr">
        <is>
          <t>Cr</t>
        </is>
      </c>
    </row>
    <row r="13">
      <c r="A13" s="55" t="inlineStr">
        <is>
          <t>Accum. Amortisation — Intangible</t>
        </is>
      </c>
      <c r="B13" s="55" t="inlineStr">
        <is>
          <t>Contra</t>
        </is>
      </c>
      <c r="C13" s="55" t="inlineStr">
        <is>
          <t>Cr-side</t>
        </is>
      </c>
      <c r="D13" s="66">
        <f>SUMPRODUCT((Journal!D3:D71=A13)*(Journal!I3:I71=1)*Journal!F3:F71)</f>
        <v/>
      </c>
      <c r="E13" s="66">
        <f>SUMPRODUCT((Journal!D3:D71=A13)*(Journal!I3:I71=-1)*Journal!F3:F71)</f>
        <v/>
      </c>
      <c r="F13" s="66">
        <f>E13-D13</f>
        <v/>
      </c>
      <c r="G13" s="72" t="inlineStr">
        <is>
          <t>Cr</t>
        </is>
      </c>
    </row>
    <row r="14">
      <c r="A14" s="73" t="inlineStr">
        <is>
          <t>Accounts Payable</t>
        </is>
      </c>
      <c r="B14" s="59" t="inlineStr">
        <is>
          <t>Liability</t>
        </is>
      </c>
      <c r="C14" s="59" t="inlineStr">
        <is>
          <t>Cr-side</t>
        </is>
      </c>
      <c r="D14" s="65">
        <f>SUMPRODUCT((Journal!D3:D71=A14)*(Journal!I3:I71=1)*Journal!F3:F71)</f>
        <v/>
      </c>
      <c r="E14" s="65">
        <f>SUMPRODUCT((Journal!D3:D71=A14)*(Journal!I3:I71=-1)*Journal!F3:F71)</f>
        <v/>
      </c>
      <c r="F14" s="65">
        <f>E14-D14</f>
        <v/>
      </c>
      <c r="G14" s="74" t="inlineStr">
        <is>
          <t>Cr</t>
        </is>
      </c>
    </row>
    <row r="15">
      <c r="A15" s="71" t="inlineStr">
        <is>
          <t>Utilities Payable</t>
        </is>
      </c>
      <c r="B15" s="55" t="inlineStr">
        <is>
          <t>Liability</t>
        </is>
      </c>
      <c r="C15" s="55" t="inlineStr">
        <is>
          <t>Cr-side</t>
        </is>
      </c>
      <c r="D15" s="66">
        <f>SUMPRODUCT((Journal!D3:D71=A15)*(Journal!I3:I71=1)*Journal!F3:F71)</f>
        <v/>
      </c>
      <c r="E15" s="66">
        <f>SUMPRODUCT((Journal!D3:D71=A15)*(Journal!I3:I71=-1)*Journal!F3:F71)</f>
        <v/>
      </c>
      <c r="F15" s="66">
        <f>E15-D15</f>
        <v/>
      </c>
      <c r="G15" s="72" t="inlineStr">
        <is>
          <t>Cr</t>
        </is>
      </c>
    </row>
    <row r="16">
      <c r="A16" s="73" t="inlineStr">
        <is>
          <t>Dividend Payable</t>
        </is>
      </c>
      <c r="B16" s="59" t="inlineStr">
        <is>
          <t>Liability</t>
        </is>
      </c>
      <c r="C16" s="59" t="inlineStr">
        <is>
          <t>Cr-side</t>
        </is>
      </c>
      <c r="D16" s="65">
        <f>SUMPRODUCT((Journal!D3:D71=A16)*(Journal!I3:I71=1)*Journal!F3:F71)</f>
        <v/>
      </c>
      <c r="E16" s="65">
        <f>SUMPRODUCT((Journal!D3:D71=A16)*(Journal!I3:I71=-1)*Journal!F3:F71)</f>
        <v/>
      </c>
      <c r="F16" s="65">
        <f>E16-D16</f>
        <v/>
      </c>
      <c r="G16" s="74" t="inlineStr">
        <is>
          <t>Cr</t>
        </is>
      </c>
    </row>
    <row r="17">
      <c r="A17" s="71" t="inlineStr">
        <is>
          <t>Lease Liability</t>
        </is>
      </c>
      <c r="B17" s="55" t="inlineStr">
        <is>
          <t>Liability</t>
        </is>
      </c>
      <c r="C17" s="55" t="inlineStr">
        <is>
          <t>Cr-side</t>
        </is>
      </c>
      <c r="D17" s="66">
        <f>SUMPRODUCT((Journal!D3:D71=A17)*(Journal!I3:I71=1)*Journal!F3:F71)</f>
        <v/>
      </c>
      <c r="E17" s="66">
        <f>SUMPRODUCT((Journal!D3:D71=A17)*(Journal!I3:I71=-1)*Journal!F3:F71)</f>
        <v/>
      </c>
      <c r="F17" s="66">
        <f>E17-D17</f>
        <v/>
      </c>
      <c r="G17" s="72" t="inlineStr">
        <is>
          <t>Cr</t>
        </is>
      </c>
    </row>
    <row r="18">
      <c r="A18" s="73" t="inlineStr">
        <is>
          <t>Provision Liability</t>
        </is>
      </c>
      <c r="B18" s="59" t="inlineStr">
        <is>
          <t>Liability</t>
        </is>
      </c>
      <c r="C18" s="59" t="inlineStr">
        <is>
          <t>Cr-side</t>
        </is>
      </c>
      <c r="D18" s="65">
        <f>SUMPRODUCT((Journal!D3:D71=A18)*(Journal!I3:I71=1)*Journal!F3:F71)</f>
        <v/>
      </c>
      <c r="E18" s="65">
        <f>SUMPRODUCT((Journal!D3:D71=A18)*(Journal!I3:I71=-1)*Journal!F3:F71)</f>
        <v/>
      </c>
      <c r="F18" s="65">
        <f>E18-D18</f>
        <v/>
      </c>
      <c r="G18" s="74" t="inlineStr">
        <is>
          <t>Cr</t>
        </is>
      </c>
    </row>
    <row r="19">
      <c r="A19" s="71" t="inlineStr">
        <is>
          <t>Share Capital</t>
        </is>
      </c>
      <c r="B19" s="55" t="inlineStr">
        <is>
          <t>Equity</t>
        </is>
      </c>
      <c r="C19" s="55" t="inlineStr">
        <is>
          <t>Cr-side</t>
        </is>
      </c>
      <c r="D19" s="66">
        <f>SUMPRODUCT((Journal!D3:D71=A19)*(Journal!I3:I71=1)*Journal!F3:F71)</f>
        <v/>
      </c>
      <c r="E19" s="66">
        <f>SUMPRODUCT((Journal!D3:D71=A19)*(Journal!I3:I71=-1)*Journal!F3:F71)</f>
        <v/>
      </c>
      <c r="F19" s="66">
        <f>E19-D19</f>
        <v/>
      </c>
      <c r="G19" s="72" t="inlineStr">
        <is>
          <t>Cr</t>
        </is>
      </c>
    </row>
    <row r="20">
      <c r="A20" s="73" t="inlineStr">
        <is>
          <t>Share Premium</t>
        </is>
      </c>
      <c r="B20" s="59" t="inlineStr">
        <is>
          <t>Equity</t>
        </is>
      </c>
      <c r="C20" s="59" t="inlineStr">
        <is>
          <t>Cr-side</t>
        </is>
      </c>
      <c r="D20" s="65">
        <f>SUMPRODUCT((Journal!D3:D71=A20)*(Journal!I3:I71=1)*Journal!F3:F71)</f>
        <v/>
      </c>
      <c r="E20" s="65">
        <f>SUMPRODUCT((Journal!D3:D71=A20)*(Journal!I3:I71=-1)*Journal!F3:F71)</f>
        <v/>
      </c>
      <c r="F20" s="65">
        <f>E20-D20</f>
        <v/>
      </c>
      <c r="G20" s="74" t="inlineStr">
        <is>
          <t>Cr</t>
        </is>
      </c>
    </row>
    <row r="21">
      <c r="A21" s="71" t="inlineStr">
        <is>
          <t>Revaluation Surplus (OCI)</t>
        </is>
      </c>
      <c r="B21" s="55" t="inlineStr">
        <is>
          <t>Equity</t>
        </is>
      </c>
      <c r="C21" s="55" t="inlineStr">
        <is>
          <t>Cr-side</t>
        </is>
      </c>
      <c r="D21" s="66">
        <f>SUMPRODUCT((Journal!D3:D71=A21)*(Journal!I3:I71=1)*Journal!F3:F71)</f>
        <v/>
      </c>
      <c r="E21" s="66">
        <f>SUMPRODUCT((Journal!D3:D71=A21)*(Journal!I3:I71=-1)*Journal!F3:F71)</f>
        <v/>
      </c>
      <c r="F21" s="66">
        <f>E21-D21</f>
        <v/>
      </c>
      <c r="G21" s="72" t="inlineStr">
        <is>
          <t>Cr</t>
        </is>
      </c>
    </row>
    <row r="22">
      <c r="A22" s="73" t="inlineStr">
        <is>
          <t>Retained Earnings</t>
        </is>
      </c>
      <c r="B22" s="59" t="inlineStr">
        <is>
          <t>Equity</t>
        </is>
      </c>
      <c r="C22" s="59" t="inlineStr">
        <is>
          <t>Cr-side</t>
        </is>
      </c>
      <c r="D22" s="65">
        <f>SUMPRODUCT((Journal!D3:D71=A22)*(Journal!I3:I71=1)*Journal!F3:F71)</f>
        <v/>
      </c>
      <c r="E22" s="65">
        <f>SUMPRODUCT((Journal!D3:D71=A22)*(Journal!I3:I71=-1)*Journal!F3:F71)</f>
        <v/>
      </c>
      <c r="F22" s="65">
        <f>E22-D22</f>
        <v/>
      </c>
      <c r="G22" s="74" t="inlineStr">
        <is>
          <t>Cr</t>
        </is>
      </c>
    </row>
    <row r="23">
      <c r="A23" s="55" t="inlineStr">
        <is>
          <t>Treasury Shares</t>
        </is>
      </c>
      <c r="B23" s="55" t="inlineStr">
        <is>
          <t>Contra-Eq</t>
        </is>
      </c>
      <c r="C23" s="55" t="inlineStr">
        <is>
          <t>Dr-side</t>
        </is>
      </c>
      <c r="D23" s="66">
        <f>SUMPRODUCT((Journal!D3:D71=A23)*(Journal!I3:I71=1)*Journal!F3:F71)</f>
        <v/>
      </c>
      <c r="E23" s="66">
        <f>SUMPRODUCT((Journal!D3:D71=A23)*(Journal!I3:I71=-1)*Journal!F3:F71)</f>
        <v/>
      </c>
      <c r="F23" s="66">
        <f>D23-E23</f>
        <v/>
      </c>
      <c r="G23" s="72" t="inlineStr">
        <is>
          <t>Dr</t>
        </is>
      </c>
    </row>
    <row r="24">
      <c r="A24" s="59" t="inlineStr">
        <is>
          <t>Sales Revenue</t>
        </is>
      </c>
      <c r="B24" s="59" t="inlineStr">
        <is>
          <t>Revenue</t>
        </is>
      </c>
      <c r="C24" s="59" t="inlineStr">
        <is>
          <t>Cr-side</t>
        </is>
      </c>
      <c r="D24" s="65">
        <f>SUMPRODUCT((Journal!D3:D71=A24)*(Journal!I3:I71=1)*Journal!F3:F71)</f>
        <v/>
      </c>
      <c r="E24" s="65">
        <f>SUMPRODUCT((Journal!D3:D71=A24)*(Journal!I3:I71=-1)*Journal!F3:F71)</f>
        <v/>
      </c>
      <c r="F24" s="65">
        <f>E24-D24</f>
        <v/>
      </c>
      <c r="G24" s="74" t="inlineStr">
        <is>
          <t>Cr</t>
        </is>
      </c>
    </row>
    <row r="25">
      <c r="A25" s="55" t="inlineStr">
        <is>
          <t>Sales Returns &amp; Allowances</t>
        </is>
      </c>
      <c r="B25" s="55" t="inlineStr">
        <is>
          <t>Expense</t>
        </is>
      </c>
      <c r="C25" s="55" t="inlineStr">
        <is>
          <t>Dr-side</t>
        </is>
      </c>
      <c r="D25" s="66">
        <f>SUMPRODUCT((Journal!D3:D71=A25)*(Journal!I3:I71=1)*Journal!F3:F71)</f>
        <v/>
      </c>
      <c r="E25" s="66">
        <f>SUMPRODUCT((Journal!D3:D71=A25)*(Journal!I3:I71=-1)*Journal!F3:F71)</f>
        <v/>
      </c>
      <c r="F25" s="66">
        <f>D25-E25</f>
        <v/>
      </c>
      <c r="G25" s="72" t="inlineStr">
        <is>
          <t>Dr</t>
        </is>
      </c>
    </row>
    <row r="26">
      <c r="A26" s="59" t="inlineStr">
        <is>
          <t>Cost of Sales</t>
        </is>
      </c>
      <c r="B26" s="59" t="inlineStr">
        <is>
          <t>Expense</t>
        </is>
      </c>
      <c r="C26" s="59" t="inlineStr">
        <is>
          <t>Dr-side</t>
        </is>
      </c>
      <c r="D26" s="65">
        <f>SUMPRODUCT((Journal!D3:D71=A26)*(Journal!I3:I71=1)*Journal!F3:F71)</f>
        <v/>
      </c>
      <c r="E26" s="65">
        <f>SUMPRODUCT((Journal!D3:D71=A26)*(Journal!I3:I71=-1)*Journal!F3:F71)</f>
        <v/>
      </c>
      <c r="F26" s="65">
        <f>D26-E26</f>
        <v/>
      </c>
      <c r="G26" s="74" t="inlineStr">
        <is>
          <t>Dr</t>
        </is>
      </c>
    </row>
    <row r="27">
      <c r="A27" s="55" t="inlineStr">
        <is>
          <t>Inventory Write-Down Loss</t>
        </is>
      </c>
      <c r="B27" s="55" t="inlineStr">
        <is>
          <t>Expense</t>
        </is>
      </c>
      <c r="C27" s="55" t="inlineStr">
        <is>
          <t>Dr-side</t>
        </is>
      </c>
      <c r="D27" s="66">
        <f>SUMPRODUCT((Journal!D3:D71=A27)*(Journal!I3:I71=1)*Journal!F3:F71)</f>
        <v/>
      </c>
      <c r="E27" s="66">
        <f>SUMPRODUCT((Journal!D3:D71=A27)*(Journal!I3:I71=-1)*Journal!F3:F71)</f>
        <v/>
      </c>
      <c r="F27" s="66">
        <f>D27-E27</f>
        <v/>
      </c>
      <c r="G27" s="72" t="inlineStr">
        <is>
          <t>Dr</t>
        </is>
      </c>
    </row>
    <row r="28">
      <c r="A28" s="59" t="inlineStr">
        <is>
          <t>Legal Expense</t>
        </is>
      </c>
      <c r="B28" s="59" t="inlineStr">
        <is>
          <t>Expense</t>
        </is>
      </c>
      <c r="C28" s="59" t="inlineStr">
        <is>
          <t>Dr-side</t>
        </is>
      </c>
      <c r="D28" s="65">
        <f>SUMPRODUCT((Journal!D3:D71=A28)*(Journal!I3:I71=1)*Journal!F3:F71)</f>
        <v/>
      </c>
      <c r="E28" s="65">
        <f>SUMPRODUCT((Journal!D3:D71=A28)*(Journal!I3:I71=-1)*Journal!F3:F71)</f>
        <v/>
      </c>
      <c r="F28" s="65">
        <f>D28-E28</f>
        <v/>
      </c>
      <c r="G28" s="74" t="inlineStr">
        <is>
          <t>Dr</t>
        </is>
      </c>
    </row>
    <row r="29">
      <c r="A29" s="55" t="inlineStr">
        <is>
          <t>Legal Expense — Provision</t>
        </is>
      </c>
      <c r="B29" s="55" t="inlineStr">
        <is>
          <t>Expense</t>
        </is>
      </c>
      <c r="C29" s="55" t="inlineStr">
        <is>
          <t>Dr-side</t>
        </is>
      </c>
      <c r="D29" s="66">
        <f>SUMPRODUCT((Journal!D3:D71=A29)*(Journal!I3:I71=1)*Journal!F3:F71)</f>
        <v/>
      </c>
      <c r="E29" s="66">
        <f>SUMPRODUCT((Journal!D3:D71=A29)*(Journal!I3:I71=-1)*Journal!F3:F71)</f>
        <v/>
      </c>
      <c r="F29" s="66">
        <f>D29-E29</f>
        <v/>
      </c>
      <c r="G29" s="72" t="inlineStr">
        <is>
          <t>Dr</t>
        </is>
      </c>
    </row>
    <row r="30">
      <c r="A30" s="59" t="inlineStr">
        <is>
          <t>Bad Debt Expense</t>
        </is>
      </c>
      <c r="B30" s="59" t="inlineStr">
        <is>
          <t>Expense</t>
        </is>
      </c>
      <c r="C30" s="59" t="inlineStr">
        <is>
          <t>Dr-side</t>
        </is>
      </c>
      <c r="D30" s="65">
        <f>SUMPRODUCT((Journal!D3:D71=A30)*(Journal!I3:I71=1)*Journal!F3:F71)</f>
        <v/>
      </c>
      <c r="E30" s="65">
        <f>SUMPRODUCT((Journal!D3:D71=A30)*(Journal!I3:I71=-1)*Journal!F3:F71)</f>
        <v/>
      </c>
      <c r="F30" s="65">
        <f>D30-E30</f>
        <v/>
      </c>
      <c r="G30" s="74" t="inlineStr">
        <is>
          <t>Dr</t>
        </is>
      </c>
    </row>
    <row r="31">
      <c r="A31" s="55" t="inlineStr">
        <is>
          <t>Research Expense</t>
        </is>
      </c>
      <c r="B31" s="55" t="inlineStr">
        <is>
          <t>Expense</t>
        </is>
      </c>
      <c r="C31" s="55" t="inlineStr">
        <is>
          <t>Dr-side</t>
        </is>
      </c>
      <c r="D31" s="66">
        <f>SUMPRODUCT((Journal!D3:D71=A31)*(Journal!I3:I71=1)*Journal!F3:F71)</f>
        <v/>
      </c>
      <c r="E31" s="66">
        <f>SUMPRODUCT((Journal!D3:D71=A31)*(Journal!I3:I71=-1)*Journal!F3:F71)</f>
        <v/>
      </c>
      <c r="F31" s="66">
        <f>D31-E31</f>
        <v/>
      </c>
      <c r="G31" s="72" t="inlineStr">
        <is>
          <t>Dr</t>
        </is>
      </c>
    </row>
    <row r="32">
      <c r="A32" s="59" t="inlineStr">
        <is>
          <t>Depreciation Expense</t>
        </is>
      </c>
      <c r="B32" s="59" t="inlineStr">
        <is>
          <t>Expense</t>
        </is>
      </c>
      <c r="C32" s="59" t="inlineStr">
        <is>
          <t>Dr-side</t>
        </is>
      </c>
      <c r="D32" s="65">
        <f>SUMPRODUCT((Journal!D3:D71=A32)*(Journal!I3:I71=1)*Journal!F3:F71)</f>
        <v/>
      </c>
      <c r="E32" s="65">
        <f>SUMPRODUCT((Journal!D3:D71=A32)*(Journal!I3:I71=-1)*Journal!F3:F71)</f>
        <v/>
      </c>
      <c r="F32" s="65">
        <f>D32-E32</f>
        <v/>
      </c>
      <c r="G32" s="74" t="inlineStr">
        <is>
          <t>Dr</t>
        </is>
      </c>
    </row>
    <row r="33">
      <c r="A33" s="55" t="inlineStr">
        <is>
          <t>Amortisation Expense</t>
        </is>
      </c>
      <c r="B33" s="55" t="inlineStr">
        <is>
          <t>Expense</t>
        </is>
      </c>
      <c r="C33" s="55" t="inlineStr">
        <is>
          <t>Dr-side</t>
        </is>
      </c>
      <c r="D33" s="66">
        <f>SUMPRODUCT((Journal!D3:D71=A33)*(Journal!I3:I71=1)*Journal!F3:F71)</f>
        <v/>
      </c>
      <c r="E33" s="66">
        <f>SUMPRODUCT((Journal!D3:D71=A33)*(Journal!I3:I71=-1)*Journal!F3:F71)</f>
        <v/>
      </c>
      <c r="F33" s="66">
        <f>D33-E33</f>
        <v/>
      </c>
      <c r="G33" s="72" t="inlineStr">
        <is>
          <t>Dr</t>
        </is>
      </c>
    </row>
    <row r="34">
      <c r="A34" s="59" t="inlineStr">
        <is>
          <t>Impairment Loss</t>
        </is>
      </c>
      <c r="B34" s="59" t="inlineStr">
        <is>
          <t>Expense</t>
        </is>
      </c>
      <c r="C34" s="59" t="inlineStr">
        <is>
          <t>Dr-side</t>
        </is>
      </c>
      <c r="D34" s="65">
        <f>SUMPRODUCT((Journal!D3:D71=A34)*(Journal!I3:I71=1)*Journal!F3:F71)</f>
        <v/>
      </c>
      <c r="E34" s="65">
        <f>SUMPRODUCT((Journal!D3:D71=A34)*(Journal!I3:I71=-1)*Journal!F3:F71)</f>
        <v/>
      </c>
      <c r="F34" s="65">
        <f>D34-E34</f>
        <v/>
      </c>
      <c r="G34" s="74" t="inlineStr">
        <is>
          <t>Dr</t>
        </is>
      </c>
    </row>
    <row r="35">
      <c r="A35" s="55" t="inlineStr">
        <is>
          <t>Interest Expense</t>
        </is>
      </c>
      <c r="B35" s="55" t="inlineStr">
        <is>
          <t>Expense</t>
        </is>
      </c>
      <c r="C35" s="55" t="inlineStr">
        <is>
          <t>Dr-side</t>
        </is>
      </c>
      <c r="D35" s="66">
        <f>SUMPRODUCT((Journal!D3:D71=A35)*(Journal!I3:I71=1)*Journal!F3:F71)</f>
        <v/>
      </c>
      <c r="E35" s="66">
        <f>SUMPRODUCT((Journal!D3:D71=A35)*(Journal!I3:I71=-1)*Journal!F3:F71)</f>
        <v/>
      </c>
      <c r="F35" s="66">
        <f>D35-E35</f>
        <v/>
      </c>
      <c r="G35" s="72" t="inlineStr">
        <is>
          <t>Dr</t>
        </is>
      </c>
    </row>
    <row r="36">
      <c r="A36" s="59" t="inlineStr">
        <is>
          <t>Insurance Expense</t>
        </is>
      </c>
      <c r="B36" s="59" t="inlineStr">
        <is>
          <t>Expense</t>
        </is>
      </c>
      <c r="C36" s="59" t="inlineStr">
        <is>
          <t>Dr-side</t>
        </is>
      </c>
      <c r="D36" s="65">
        <f>SUMPRODUCT((Journal!D3:D71=A36)*(Journal!I3:I71=1)*Journal!F3:F71)</f>
        <v/>
      </c>
      <c r="E36" s="65">
        <f>SUMPRODUCT((Journal!D3:D71=A36)*(Journal!I3:I71=-1)*Journal!F3:F71)</f>
        <v/>
      </c>
      <c r="F36" s="65">
        <f>D36-E36</f>
        <v/>
      </c>
      <c r="G36" s="74" t="inlineStr">
        <is>
          <t>Dr</t>
        </is>
      </c>
    </row>
    <row r="37">
      <c r="A37" s="55" t="inlineStr">
        <is>
          <t>Utilities Expense</t>
        </is>
      </c>
      <c r="B37" s="55" t="inlineStr">
        <is>
          <t>Expense</t>
        </is>
      </c>
      <c r="C37" s="55" t="inlineStr">
        <is>
          <t>Dr-side</t>
        </is>
      </c>
      <c r="D37" s="66">
        <f>SUMPRODUCT((Journal!D3:D71=A37)*(Journal!I3:I71=1)*Journal!F3:F71)</f>
        <v/>
      </c>
      <c r="E37" s="66">
        <f>SUMPRODUCT((Journal!D3:D71=A37)*(Journal!I3:I71=-1)*Journal!F3:F71)</f>
        <v/>
      </c>
      <c r="F37" s="66">
        <f>D37-E37</f>
        <v/>
      </c>
      <c r="G37" s="72" t="inlineStr">
        <is>
          <t>Dr</t>
        </is>
      </c>
    </row>
    <row r="38">
      <c r="A38" s="59" t="inlineStr">
        <is>
          <t>Salaries Expense</t>
        </is>
      </c>
      <c r="B38" s="59" t="inlineStr">
        <is>
          <t>Expense</t>
        </is>
      </c>
      <c r="C38" s="59" t="inlineStr">
        <is>
          <t>Dr-side</t>
        </is>
      </c>
      <c r="D38" s="65">
        <f>SUMPRODUCT((Journal!D3:D71=A38)*(Journal!I3:I71=1)*Journal!F3:F71)</f>
        <v/>
      </c>
      <c r="E38" s="65">
        <f>SUMPRODUCT((Journal!D3:D71=A38)*(Journal!I3:I71=-1)*Journal!F3:F71)</f>
        <v/>
      </c>
      <c r="F38" s="65">
        <f>D38-E38</f>
        <v/>
      </c>
      <c r="G38" s="74" t="inlineStr">
        <is>
          <t>Dr</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F39C12"/>
    <outlinePr summaryBelow="1" summaryRight="1"/>
    <pageSetUpPr/>
  </sheetPr>
  <dimension ref="A1:E41"/>
  <sheetViews>
    <sheetView showGridLines="0" workbookViewId="0">
      <selection activeCell="A1" sqref="A1"/>
    </sheetView>
  </sheetViews>
  <sheetFormatPr baseColWidth="8" defaultRowHeight="15"/>
  <cols>
    <col width="38" customWidth="1" min="1" max="1"/>
    <col width="14" customWidth="1" min="2" max="2"/>
    <col width="18" customWidth="1" min="3" max="3"/>
    <col width="18" customWidth="1" min="4" max="4"/>
    <col width="22" customWidth="1" min="5" max="5"/>
  </cols>
  <sheetData>
    <row r="1" ht="30" customHeight="1">
      <c r="A1" s="70" t="inlineStr">
        <is>
          <t>TRIAL BALANCE — As at 31 December 2024</t>
        </is>
      </c>
    </row>
    <row r="2" ht="20" customHeight="1">
      <c r="A2" s="43" t="inlineStr">
        <is>
          <t>Account Name</t>
        </is>
      </c>
      <c r="B2" s="43" t="inlineStr">
        <is>
          <t>Type</t>
        </is>
      </c>
      <c r="C2" s="43" t="inlineStr">
        <is>
          <t>Debit (PKR)</t>
        </is>
      </c>
      <c r="D2" s="43" t="inlineStr">
        <is>
          <t>Credit (PKR)</t>
        </is>
      </c>
      <c r="E2" s="43" t="inlineStr">
        <is>
          <t>Source</t>
        </is>
      </c>
    </row>
    <row r="3">
      <c r="A3" s="55" t="inlineStr">
        <is>
          <t>Cash</t>
        </is>
      </c>
      <c r="B3" s="55" t="inlineStr">
        <is>
          <t>Asset</t>
        </is>
      </c>
      <c r="C3" s="66">
        <f>IF(General_Ledger!F3&gt;0,General_Ledger!F3,0)</f>
        <v/>
      </c>
      <c r="D3" s="66" t="inlineStr"/>
      <c r="E3" s="72" t="inlineStr">
        <is>
          <t>Cash</t>
        </is>
      </c>
    </row>
    <row r="4">
      <c r="A4" s="59" t="inlineStr">
        <is>
          <t>Accounts Receivable</t>
        </is>
      </c>
      <c r="B4" s="59" t="inlineStr">
        <is>
          <t>Asset</t>
        </is>
      </c>
      <c r="C4" s="65">
        <f>IF(General_Ledger!F4&gt;0,General_Ledger!F4,0)</f>
        <v/>
      </c>
      <c r="D4" s="65" t="inlineStr"/>
      <c r="E4" s="74" t="inlineStr">
        <is>
          <t>Accounts Receivable</t>
        </is>
      </c>
    </row>
    <row r="5">
      <c r="A5" s="55" t="inlineStr">
        <is>
          <t>Inventory</t>
        </is>
      </c>
      <c r="B5" s="55" t="inlineStr">
        <is>
          <t>Asset</t>
        </is>
      </c>
      <c r="C5" s="66">
        <f>IF(General_Ledger!F5&gt;0,General_Ledger!F5,0)</f>
        <v/>
      </c>
      <c r="D5" s="66" t="inlineStr"/>
      <c r="E5" s="72" t="inlineStr">
        <is>
          <t>Inventory</t>
        </is>
      </c>
    </row>
    <row r="6">
      <c r="A6" s="59" t="inlineStr">
        <is>
          <t>Prepaid Insurance</t>
        </is>
      </c>
      <c r="B6" s="59" t="inlineStr">
        <is>
          <t>Asset</t>
        </is>
      </c>
      <c r="C6" s="65">
        <f>IF(General_Ledger!F6&gt;0,General_Ledger!F6,0)</f>
        <v/>
      </c>
      <c r="D6" s="65" t="inlineStr"/>
      <c r="E6" s="74" t="inlineStr">
        <is>
          <t>Prepaid Insurance</t>
        </is>
      </c>
    </row>
    <row r="7">
      <c r="A7" s="55" t="inlineStr">
        <is>
          <t>Machinery</t>
        </is>
      </c>
      <c r="B7" s="55" t="inlineStr">
        <is>
          <t>Asset</t>
        </is>
      </c>
      <c r="C7" s="66">
        <f>IF(General_Ledger!F7&gt;0,General_Ledger!F7,0)</f>
        <v/>
      </c>
      <c r="D7" s="66" t="inlineStr"/>
      <c r="E7" s="72" t="inlineStr">
        <is>
          <t>Machinery</t>
        </is>
      </c>
    </row>
    <row r="8">
      <c r="A8" s="59" t="inlineStr">
        <is>
          <t>Land</t>
        </is>
      </c>
      <c r="B8" s="59" t="inlineStr">
        <is>
          <t>Asset</t>
        </is>
      </c>
      <c r="C8" s="65">
        <f>IF(General_Ledger!F8&gt;0,General_Ledger!F8,0)</f>
        <v/>
      </c>
      <c r="D8" s="65" t="inlineStr"/>
      <c r="E8" s="74" t="inlineStr">
        <is>
          <t>Land</t>
        </is>
      </c>
    </row>
    <row r="9">
      <c r="A9" s="55" t="inlineStr">
        <is>
          <t>Right-of-Use Asset</t>
        </is>
      </c>
      <c r="B9" s="55" t="inlineStr">
        <is>
          <t>Asset</t>
        </is>
      </c>
      <c r="C9" s="66">
        <f>IF(General_Ledger!F9&gt;0,General_Ledger!F9,0)</f>
        <v/>
      </c>
      <c r="D9" s="66" t="inlineStr"/>
      <c r="E9" s="72" t="inlineStr">
        <is>
          <t>Right-of-Use Asset</t>
        </is>
      </c>
    </row>
    <row r="10">
      <c r="A10" s="59" t="inlineStr">
        <is>
          <t>Intangible Asset — Dev Cost</t>
        </is>
      </c>
      <c r="B10" s="59" t="inlineStr">
        <is>
          <t>Asset</t>
        </is>
      </c>
      <c r="C10" s="65">
        <f>IF(General_Ledger!F10&gt;0,General_Ledger!F10,0)</f>
        <v/>
      </c>
      <c r="D10" s="65" t="inlineStr"/>
      <c r="E10" s="74" t="inlineStr">
        <is>
          <t>Intangible Asset — Dev Cost</t>
        </is>
      </c>
    </row>
    <row r="11">
      <c r="A11" s="55" t="inlineStr">
        <is>
          <t>Accum. Depreciation — Machinery</t>
        </is>
      </c>
      <c r="B11" s="55" t="inlineStr">
        <is>
          <t>Contra</t>
        </is>
      </c>
      <c r="C11" s="66" t="inlineStr"/>
      <c r="D11" s="66">
        <f>IF(General_Ledger!F11&gt;0,General_Ledger!F11,0)</f>
        <v/>
      </c>
      <c r="E11" s="72" t="inlineStr">
        <is>
          <t>Accum. Depreciation — Machinery</t>
        </is>
      </c>
    </row>
    <row r="12">
      <c r="A12" s="59" t="inlineStr">
        <is>
          <t>Accum. Impairment — Machinery</t>
        </is>
      </c>
      <c r="B12" s="59" t="inlineStr">
        <is>
          <t>Contra</t>
        </is>
      </c>
      <c r="C12" s="65" t="inlineStr"/>
      <c r="D12" s="65">
        <f>IF(General_Ledger!F12&gt;0,General_Ledger!F12,0)</f>
        <v/>
      </c>
      <c r="E12" s="74" t="inlineStr">
        <is>
          <t>Accum. Impairment — Machinery</t>
        </is>
      </c>
    </row>
    <row r="13">
      <c r="A13" s="55" t="inlineStr">
        <is>
          <t>Accum. Amortisation — Intangible</t>
        </is>
      </c>
      <c r="B13" s="55" t="inlineStr">
        <is>
          <t>Contra</t>
        </is>
      </c>
      <c r="C13" s="66" t="inlineStr"/>
      <c r="D13" s="66">
        <f>IF(General_Ledger!F13&gt;0,General_Ledger!F13,0)</f>
        <v/>
      </c>
      <c r="E13" s="72" t="inlineStr">
        <is>
          <t>Accum. Amortisation — Intangible</t>
        </is>
      </c>
    </row>
    <row r="14">
      <c r="A14" s="59" t="inlineStr">
        <is>
          <t>Accounts Payable</t>
        </is>
      </c>
      <c r="B14" s="59" t="inlineStr">
        <is>
          <t>Liability</t>
        </is>
      </c>
      <c r="C14" s="65" t="inlineStr"/>
      <c r="D14" s="65">
        <f>IF(General_Ledger!F14&gt;0,General_Ledger!F14,0)</f>
        <v/>
      </c>
      <c r="E14" s="74" t="inlineStr">
        <is>
          <t>Accounts Payable</t>
        </is>
      </c>
    </row>
    <row r="15">
      <c r="A15" s="55" t="inlineStr">
        <is>
          <t>Utilities Payable</t>
        </is>
      </c>
      <c r="B15" s="55" t="inlineStr">
        <is>
          <t>Liability</t>
        </is>
      </c>
      <c r="C15" s="66" t="inlineStr"/>
      <c r="D15" s="66">
        <f>IF(General_Ledger!F15&gt;0,General_Ledger!F15,0)</f>
        <v/>
      </c>
      <c r="E15" s="72" t="inlineStr">
        <is>
          <t>Utilities Payable</t>
        </is>
      </c>
    </row>
    <row r="16">
      <c r="A16" s="59" t="inlineStr">
        <is>
          <t>Dividend Payable</t>
        </is>
      </c>
      <c r="B16" s="59" t="inlineStr">
        <is>
          <t>Liability</t>
        </is>
      </c>
      <c r="C16" s="65" t="inlineStr"/>
      <c r="D16" s="65">
        <f>IF(General_Ledger!F16&gt;0,General_Ledger!F16,0)</f>
        <v/>
      </c>
      <c r="E16" s="74" t="inlineStr">
        <is>
          <t>Dividend Payable</t>
        </is>
      </c>
    </row>
    <row r="17">
      <c r="A17" s="55" t="inlineStr">
        <is>
          <t>Lease Liability</t>
        </is>
      </c>
      <c r="B17" s="55" t="inlineStr">
        <is>
          <t>Liability</t>
        </is>
      </c>
      <c r="C17" s="66" t="inlineStr"/>
      <c r="D17" s="66">
        <f>IF(General_Ledger!F17&gt;0,General_Ledger!F17,0)</f>
        <v/>
      </c>
      <c r="E17" s="72" t="inlineStr">
        <is>
          <t>Lease Liability</t>
        </is>
      </c>
    </row>
    <row r="18">
      <c r="A18" s="59" t="inlineStr">
        <is>
          <t>Provision Liability</t>
        </is>
      </c>
      <c r="B18" s="59" t="inlineStr">
        <is>
          <t>Liability</t>
        </is>
      </c>
      <c r="C18" s="65" t="inlineStr"/>
      <c r="D18" s="65">
        <f>IF(General_Ledger!F18&gt;0,General_Ledger!F18,0)</f>
        <v/>
      </c>
      <c r="E18" s="74" t="inlineStr">
        <is>
          <t>Provision Liability</t>
        </is>
      </c>
    </row>
    <row r="19">
      <c r="A19" s="55" t="inlineStr">
        <is>
          <t>Share Capital</t>
        </is>
      </c>
      <c r="B19" s="55" t="inlineStr">
        <is>
          <t>Equity</t>
        </is>
      </c>
      <c r="C19" s="66" t="inlineStr"/>
      <c r="D19" s="66">
        <f>IF(General_Ledger!F19&gt;0,General_Ledger!F19,0)</f>
        <v/>
      </c>
      <c r="E19" s="72" t="inlineStr">
        <is>
          <t>Share Capital</t>
        </is>
      </c>
    </row>
    <row r="20">
      <c r="A20" s="59" t="inlineStr">
        <is>
          <t>Share Premium</t>
        </is>
      </c>
      <c r="B20" s="59" t="inlineStr">
        <is>
          <t>Equity</t>
        </is>
      </c>
      <c r="C20" s="65" t="inlineStr"/>
      <c r="D20" s="65">
        <f>IF(General_Ledger!F20&gt;0,General_Ledger!F20,0)</f>
        <v/>
      </c>
      <c r="E20" s="74" t="inlineStr">
        <is>
          <t>Share Premium</t>
        </is>
      </c>
    </row>
    <row r="21">
      <c r="A21" s="55" t="inlineStr">
        <is>
          <t>Revaluation Surplus (OCI)</t>
        </is>
      </c>
      <c r="B21" s="55" t="inlineStr">
        <is>
          <t>Equity</t>
        </is>
      </c>
      <c r="C21" s="66" t="inlineStr"/>
      <c r="D21" s="66">
        <f>IF(General_Ledger!F21&gt;0,General_Ledger!F21,0)</f>
        <v/>
      </c>
      <c r="E21" s="72" t="inlineStr">
        <is>
          <t>Revaluation Surplus (OCI)</t>
        </is>
      </c>
    </row>
    <row r="22">
      <c r="A22" s="59" t="inlineStr">
        <is>
          <t>Retained Earnings</t>
        </is>
      </c>
      <c r="B22" s="59" t="inlineStr">
        <is>
          <t>Equity</t>
        </is>
      </c>
      <c r="C22" s="65" t="inlineStr"/>
      <c r="D22" s="65">
        <f>IF(General_Ledger!F22&gt;0,General_Ledger!F22,0)</f>
        <v/>
      </c>
      <c r="E22" s="74" t="inlineStr">
        <is>
          <t>Retained Earnings</t>
        </is>
      </c>
    </row>
    <row r="23">
      <c r="A23" s="55" t="inlineStr">
        <is>
          <t>Treasury Shares</t>
        </is>
      </c>
      <c r="B23" s="55" t="inlineStr">
        <is>
          <t>Contra-Eq</t>
        </is>
      </c>
      <c r="C23" s="66">
        <f>IF(General_Ledger!F23&gt;0,General_Ledger!F23,0)</f>
        <v/>
      </c>
      <c r="D23" s="66" t="inlineStr"/>
      <c r="E23" s="72" t="inlineStr">
        <is>
          <t>Treasury Shares</t>
        </is>
      </c>
    </row>
    <row r="24">
      <c r="A24" s="59" t="inlineStr">
        <is>
          <t>Sales Revenue</t>
        </is>
      </c>
      <c r="B24" s="59" t="inlineStr">
        <is>
          <t>Revenue</t>
        </is>
      </c>
      <c r="C24" s="65" t="inlineStr"/>
      <c r="D24" s="65">
        <f>IF(General_Ledger!F24&gt;0,General_Ledger!F24,0)</f>
        <v/>
      </c>
      <c r="E24" s="74" t="inlineStr">
        <is>
          <t>Sales Revenue</t>
        </is>
      </c>
    </row>
    <row r="25">
      <c r="A25" s="55" t="inlineStr">
        <is>
          <t>Sales Returns &amp; Allowances</t>
        </is>
      </c>
      <c r="B25" s="55" t="inlineStr">
        <is>
          <t>Expense</t>
        </is>
      </c>
      <c r="C25" s="66">
        <f>IF(General_Ledger!F25&gt;0,General_Ledger!F25,0)</f>
        <v/>
      </c>
      <c r="D25" s="66" t="inlineStr"/>
      <c r="E25" s="72" t="inlineStr">
        <is>
          <t>Sales Returns &amp; Allowances</t>
        </is>
      </c>
    </row>
    <row r="26">
      <c r="A26" s="59" t="inlineStr">
        <is>
          <t>Cost of Sales</t>
        </is>
      </c>
      <c r="B26" s="59" t="inlineStr">
        <is>
          <t>Expense</t>
        </is>
      </c>
      <c r="C26" s="65">
        <f>IF(General_Ledger!F26&gt;0,General_Ledger!F26,0)</f>
        <v/>
      </c>
      <c r="D26" s="65" t="inlineStr"/>
      <c r="E26" s="74" t="inlineStr">
        <is>
          <t>Cost of Sales</t>
        </is>
      </c>
    </row>
    <row r="27">
      <c r="A27" s="55" t="inlineStr">
        <is>
          <t>Inventory Write-Down Loss</t>
        </is>
      </c>
      <c r="B27" s="55" t="inlineStr">
        <is>
          <t>Expense</t>
        </is>
      </c>
      <c r="C27" s="66">
        <f>IF(General_Ledger!F27&gt;0,General_Ledger!F27,0)</f>
        <v/>
      </c>
      <c r="D27" s="66" t="inlineStr"/>
      <c r="E27" s="72" t="inlineStr">
        <is>
          <t>Inventory Write-Down Loss</t>
        </is>
      </c>
    </row>
    <row r="28">
      <c r="A28" s="59" t="inlineStr">
        <is>
          <t>Legal Expense</t>
        </is>
      </c>
      <c r="B28" s="59" t="inlineStr">
        <is>
          <t>Expense</t>
        </is>
      </c>
      <c r="C28" s="65">
        <f>IF(General_Ledger!F28&gt;0,General_Ledger!F28,0)</f>
        <v/>
      </c>
      <c r="D28" s="65" t="inlineStr"/>
      <c r="E28" s="74" t="inlineStr">
        <is>
          <t>Legal Expense</t>
        </is>
      </c>
    </row>
    <row r="29">
      <c r="A29" s="55" t="inlineStr">
        <is>
          <t>Legal Expense — Provision</t>
        </is>
      </c>
      <c r="B29" s="55" t="inlineStr">
        <is>
          <t>Expense</t>
        </is>
      </c>
      <c r="C29" s="66">
        <f>IF(General_Ledger!F29&gt;0,General_Ledger!F29,0)</f>
        <v/>
      </c>
      <c r="D29" s="66" t="inlineStr"/>
      <c r="E29" s="72" t="inlineStr">
        <is>
          <t>Legal Expense — Provision</t>
        </is>
      </c>
    </row>
    <row r="30">
      <c r="A30" s="59" t="inlineStr">
        <is>
          <t>Bad Debt Expense</t>
        </is>
      </c>
      <c r="B30" s="59" t="inlineStr">
        <is>
          <t>Expense</t>
        </is>
      </c>
      <c r="C30" s="65">
        <f>IF(General_Ledger!F30&gt;0,General_Ledger!F30,0)</f>
        <v/>
      </c>
      <c r="D30" s="65" t="inlineStr"/>
      <c r="E30" s="74" t="inlineStr">
        <is>
          <t>Bad Debt Expense</t>
        </is>
      </c>
    </row>
    <row r="31">
      <c r="A31" s="55" t="inlineStr">
        <is>
          <t>Research Expense</t>
        </is>
      </c>
      <c r="B31" s="55" t="inlineStr">
        <is>
          <t>Expense</t>
        </is>
      </c>
      <c r="C31" s="66">
        <f>IF(General_Ledger!F31&gt;0,General_Ledger!F31,0)</f>
        <v/>
      </c>
      <c r="D31" s="66" t="inlineStr"/>
      <c r="E31" s="72" t="inlineStr">
        <is>
          <t>Research Expense</t>
        </is>
      </c>
    </row>
    <row r="32">
      <c r="A32" s="59" t="inlineStr">
        <is>
          <t>Depreciation Expense</t>
        </is>
      </c>
      <c r="B32" s="59" t="inlineStr">
        <is>
          <t>Expense</t>
        </is>
      </c>
      <c r="C32" s="65">
        <f>IF(General_Ledger!F32&gt;0,General_Ledger!F32,0)</f>
        <v/>
      </c>
      <c r="D32" s="65" t="inlineStr"/>
      <c r="E32" s="74" t="inlineStr">
        <is>
          <t>Depreciation Expense</t>
        </is>
      </c>
    </row>
    <row r="33">
      <c r="A33" s="55" t="inlineStr">
        <is>
          <t>Amortisation Expense</t>
        </is>
      </c>
      <c r="B33" s="55" t="inlineStr">
        <is>
          <t>Expense</t>
        </is>
      </c>
      <c r="C33" s="66">
        <f>IF(General_Ledger!F33&gt;0,General_Ledger!F33,0)</f>
        <v/>
      </c>
      <c r="D33" s="66" t="inlineStr"/>
      <c r="E33" s="72" t="inlineStr">
        <is>
          <t>Amortisation Expense</t>
        </is>
      </c>
    </row>
    <row r="34">
      <c r="A34" s="59" t="inlineStr">
        <is>
          <t>Impairment Loss</t>
        </is>
      </c>
      <c r="B34" s="59" t="inlineStr">
        <is>
          <t>Expense</t>
        </is>
      </c>
      <c r="C34" s="65">
        <f>IF(General_Ledger!F34&gt;0,General_Ledger!F34,0)</f>
        <v/>
      </c>
      <c r="D34" s="65" t="inlineStr"/>
      <c r="E34" s="74" t="inlineStr">
        <is>
          <t>Impairment Loss</t>
        </is>
      </c>
    </row>
    <row r="35">
      <c r="A35" s="55" t="inlineStr">
        <is>
          <t>Interest Expense</t>
        </is>
      </c>
      <c r="B35" s="55" t="inlineStr">
        <is>
          <t>Expense</t>
        </is>
      </c>
      <c r="C35" s="66">
        <f>IF(General_Ledger!F35&gt;0,General_Ledger!F35,0)</f>
        <v/>
      </c>
      <c r="D35" s="66" t="inlineStr"/>
      <c r="E35" s="72" t="inlineStr">
        <is>
          <t>Interest Expense</t>
        </is>
      </c>
    </row>
    <row r="36">
      <c r="A36" s="59" t="inlineStr">
        <is>
          <t>Insurance Expense</t>
        </is>
      </c>
      <c r="B36" s="59" t="inlineStr">
        <is>
          <t>Expense</t>
        </is>
      </c>
      <c r="C36" s="65">
        <f>IF(General_Ledger!F36&gt;0,General_Ledger!F36,0)</f>
        <v/>
      </c>
      <c r="D36" s="65" t="inlineStr"/>
      <c r="E36" s="74" t="inlineStr">
        <is>
          <t>Insurance Expense</t>
        </is>
      </c>
    </row>
    <row r="37">
      <c r="A37" s="55" t="inlineStr">
        <is>
          <t>Utilities Expense</t>
        </is>
      </c>
      <c r="B37" s="55" t="inlineStr">
        <is>
          <t>Expense</t>
        </is>
      </c>
      <c r="C37" s="66">
        <f>IF(General_Ledger!F37&gt;0,General_Ledger!F37,0)</f>
        <v/>
      </c>
      <c r="D37" s="66" t="inlineStr"/>
      <c r="E37" s="72" t="inlineStr">
        <is>
          <t>Utilities Expense</t>
        </is>
      </c>
    </row>
    <row r="38">
      <c r="A38" s="59" t="inlineStr">
        <is>
          <t>Salaries Expense</t>
        </is>
      </c>
      <c r="B38" s="59" t="inlineStr">
        <is>
          <t>Expense</t>
        </is>
      </c>
      <c r="C38" s="65">
        <f>IF(General_Ledger!F38&gt;0,General_Ledger!F38,0)</f>
        <v/>
      </c>
      <c r="D38" s="65" t="inlineStr"/>
      <c r="E38" s="74" t="inlineStr">
        <is>
          <t>Salaries Expense</t>
        </is>
      </c>
    </row>
    <row r="39" ht="20" customHeight="1">
      <c r="A39" s="75" t="inlineStr">
        <is>
          <t>TOTALS</t>
        </is>
      </c>
      <c r="B39" s="75" t="inlineStr"/>
      <c r="C39" s="76">
        <f>SUM(C3:C38)</f>
        <v/>
      </c>
      <c r="D39" s="76">
        <f>SUM(D3:D38)</f>
        <v/>
      </c>
      <c r="E39" s="75" t="inlineStr"/>
    </row>
    <row r="41">
      <c r="A41" s="67" t="inlineStr">
        <is>
          <t>Balance Check:</t>
        </is>
      </c>
      <c r="C41" s="69">
        <f>IF(ABS(C39-D39)&lt;1,"✔ BALANCED","✘ ERROR")</f>
        <v/>
      </c>
    </row>
  </sheetData>
  <mergeCells count="2">
    <mergeCell ref="A41:B41"/>
    <mergeCell ref="A1:E1"/>
  </mergeCells>
  <pageMargins left="0.75" right="0.75" top="1" bottom="1" header="0.5" footer="0.5"/>
</worksheet>
</file>

<file path=xl/worksheets/sheet6.xml><?xml version="1.0" encoding="utf-8"?>
<worksheet xmlns="http://schemas.openxmlformats.org/spreadsheetml/2006/main">
  <sheetPr>
    <tabColor rgb="002E86C1"/>
    <outlinePr summaryBelow="1" summaryRight="1"/>
    <pageSetUpPr/>
  </sheetPr>
  <dimension ref="A1:H15"/>
  <sheetViews>
    <sheetView showGridLines="0" workbookViewId="0">
      <selection activeCell="A1" sqref="A1"/>
    </sheetView>
  </sheetViews>
  <sheetFormatPr baseColWidth="8" defaultRowHeight="15"/>
  <cols>
    <col width="10" customWidth="1" min="1" max="1"/>
    <col width="14" customWidth="1" min="2" max="2"/>
    <col width="12" customWidth="1" min="3" max="3"/>
    <col width="16" customWidth="1" min="4" max="4"/>
    <col width="16" customWidth="1" min="5" max="5"/>
    <col width="14" customWidth="1" min="6" max="6"/>
    <col width="16" customWidth="1" min="7" max="7"/>
    <col width="16" customWidth="1" min="8" max="8"/>
  </cols>
  <sheetData>
    <row r="1" ht="30" customHeight="1">
      <c r="A1" s="70" t="inlineStr">
        <is>
          <t>INVENTORY MODULE — IAS 2 | FIFO Costing &amp; NRV Test</t>
        </is>
      </c>
    </row>
    <row r="2" ht="20" customHeight="1">
      <c r="A2" s="43" t="inlineStr">
        <is>
          <t>Batch</t>
        </is>
      </c>
      <c r="B2" s="43" t="inlineStr">
        <is>
          <t>Date</t>
        </is>
      </c>
      <c r="C2" s="43" t="inlineStr">
        <is>
          <t>Units In</t>
        </is>
      </c>
      <c r="D2" s="43" t="inlineStr">
        <is>
          <t>Cost/Unit (PKR)</t>
        </is>
      </c>
      <c r="E2" s="43" t="inlineStr">
        <is>
          <t>Total Cost</t>
        </is>
      </c>
      <c r="F2" s="43" t="inlineStr">
        <is>
          <t>Units Sold</t>
        </is>
      </c>
      <c r="G2" s="43" t="inlineStr">
        <is>
          <t>COGS</t>
        </is>
      </c>
      <c r="H2" s="43" t="inlineStr">
        <is>
          <t>Closing Units</t>
        </is>
      </c>
    </row>
    <row r="3">
      <c r="A3" s="77" t="inlineStr">
        <is>
          <t>B1</t>
        </is>
      </c>
      <c r="B3" s="77" t="inlineStr">
        <is>
          <t>2024-01-06</t>
        </is>
      </c>
      <c r="C3" s="78" t="n">
        <v>100</v>
      </c>
      <c r="D3" s="79" t="n">
        <v>1000</v>
      </c>
      <c r="E3" s="30">
        <f>C3*D3</f>
        <v/>
      </c>
      <c r="F3" s="78" t="n">
        <v>60</v>
      </c>
      <c r="G3" s="30">
        <f>F3*D3</f>
        <v/>
      </c>
      <c r="H3" s="80">
        <f>C3-F3</f>
        <v/>
      </c>
    </row>
    <row r="4">
      <c r="A4" s="77" t="inlineStr">
        <is>
          <t>B2</t>
        </is>
      </c>
      <c r="B4" s="77" t="inlineStr">
        <is>
          <t>2024-01-09</t>
        </is>
      </c>
      <c r="C4" s="78" t="n">
        <v>60</v>
      </c>
      <c r="D4" s="79" t="n">
        <v>1000</v>
      </c>
      <c r="E4" s="30">
        <f>C4*D4</f>
        <v/>
      </c>
      <c r="F4" s="78" t="n">
        <v>40</v>
      </c>
      <c r="G4" s="30">
        <f>F4*D4</f>
        <v/>
      </c>
      <c r="H4" s="80">
        <f>C4-F4</f>
        <v/>
      </c>
    </row>
    <row r="7" ht="22" customHeight="1">
      <c r="A7" s="81" t="inlineStr">
        <is>
          <t>NRV ANALYSIS — IAS 2.9</t>
        </is>
      </c>
    </row>
    <row r="8">
      <c r="A8" s="82" t="inlineStr">
        <is>
          <t>Closing Inventory — Cost:</t>
        </is>
      </c>
      <c r="C8" s="83">
        <f>H3*D3+H4*D4</f>
        <v/>
      </c>
    </row>
    <row r="9">
      <c r="A9" s="82" t="inlineStr">
        <is>
          <t>Net Realisable Value (NRV):</t>
        </is>
      </c>
      <c r="C9" s="84" t="n">
        <v>99000</v>
      </c>
      <c r="D9" s="85" t="inlineStr">
        <is>
          <t>IAS 2 estimate</t>
        </is>
      </c>
    </row>
    <row r="10">
      <c r="A10" s="82" t="inlineStr">
        <is>
          <t>Write-Down Required:</t>
        </is>
      </c>
      <c r="C10" s="83">
        <f>MAX(0,C8-C9)</f>
        <v/>
      </c>
      <c r="D10" s="85">
        <f> MAX(0, Cost - NRV)</f>
        <v/>
      </c>
    </row>
    <row r="13" ht="20" customHeight="1">
      <c r="A13" s="26" t="inlineStr">
        <is>
          <t>SUMMARY</t>
        </is>
      </c>
    </row>
    <row r="14">
      <c r="A14" s="67" t="inlineStr">
        <is>
          <t>Total COGS:</t>
        </is>
      </c>
      <c r="C14" s="86">
        <f>G3+G4</f>
        <v/>
      </c>
    </row>
    <row r="15">
      <c r="A15" s="67" t="inlineStr">
        <is>
          <t>Closing Inventory (after write-down):</t>
        </is>
      </c>
      <c r="C15" s="86">
        <f>C8-C10</f>
        <v/>
      </c>
    </row>
  </sheetData>
  <mergeCells count="3">
    <mergeCell ref="A7:H7"/>
    <mergeCell ref="A13:H13"/>
    <mergeCell ref="A1:H1"/>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A1:G12"/>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70" t="inlineStr">
        <is>
          <t>PPE MODULE — IAS 16 | IAS 36 Impairment</t>
        </is>
      </c>
    </row>
    <row r="2" ht="20" customHeight="1">
      <c r="A2" s="43" t="inlineStr">
        <is>
          <t>Asset</t>
        </is>
      </c>
      <c r="B2" s="43" t="inlineStr">
        <is>
          <t>Cost</t>
        </is>
      </c>
      <c r="C2" s="43" t="inlineStr">
        <is>
          <t>Accum. Depr.</t>
        </is>
      </c>
      <c r="D2" s="43" t="inlineStr">
        <is>
          <t>Impairment</t>
        </is>
      </c>
      <c r="E2" s="43" t="inlineStr">
        <is>
          <t>Carrying Amt</t>
        </is>
      </c>
      <c r="F2" s="43" t="inlineStr">
        <is>
          <t>Recoverable</t>
        </is>
      </c>
      <c r="G2" s="43" t="inlineStr">
        <is>
          <t>Imp. Loss</t>
        </is>
      </c>
    </row>
    <row r="3">
      <c r="A3" s="29" t="inlineStr">
        <is>
          <t>Machinery</t>
        </is>
      </c>
      <c r="B3" s="87">
        <f>Variable_Matrix!C6</f>
        <v/>
      </c>
      <c r="C3" s="87">
        <f>Variable_Matrix!C6/Variable_Matrix!C14</f>
        <v/>
      </c>
      <c r="D3" s="87" t="n">
        <v>2000000</v>
      </c>
      <c r="E3" s="87">
        <f>B3-C3-D3</f>
        <v/>
      </c>
      <c r="F3" s="88">
        <f>Variable_Matrix!C13</f>
        <v/>
      </c>
      <c r="G3" s="87">
        <f>MAX(0,B3-D3-F3)</f>
        <v/>
      </c>
    </row>
    <row r="4">
      <c r="A4" s="29" t="inlineStr">
        <is>
          <t>Land</t>
        </is>
      </c>
      <c r="B4" s="87">
        <f>Variable_Matrix!C15+Variable_Matrix!C16</f>
        <v/>
      </c>
      <c r="C4" s="87" t="n">
        <v>0</v>
      </c>
      <c r="D4" s="87" t="n">
        <v>0</v>
      </c>
      <c r="E4" s="87">
        <f>B4</f>
        <v/>
      </c>
      <c r="F4" s="88" t="inlineStr">
        <is>
          <t>N/A</t>
        </is>
      </c>
      <c r="G4" s="87" t="n">
        <v>0</v>
      </c>
    </row>
    <row r="6">
      <c r="A6" s="67" t="inlineStr">
        <is>
          <t>Revaluation Surplus (Land):</t>
        </is>
      </c>
      <c r="C6" s="89">
        <f>Variable_Matrix!C16</f>
        <v/>
      </c>
    </row>
    <row r="8" ht="22" customHeight="1">
      <c r="A8" s="90" t="inlineStr">
        <is>
          <t>STRAIGHT-LINE DEPRECIATION SCHEDULE — Machinery</t>
        </is>
      </c>
    </row>
    <row r="9" ht="20" customHeight="1">
      <c r="A9" s="91" t="inlineStr">
        <is>
          <t>Year</t>
        </is>
      </c>
      <c r="B9" s="91" t="inlineStr">
        <is>
          <t>Opening CA</t>
        </is>
      </c>
      <c r="C9" s="91" t="inlineStr">
        <is>
          <t>Annual Depr.</t>
        </is>
      </c>
      <c r="D9" s="91" t="inlineStr">
        <is>
          <t>Impairment</t>
        </is>
      </c>
      <c r="E9" s="91" t="inlineStr">
        <is>
          <t>Closing CA</t>
        </is>
      </c>
      <c r="F9" s="91" t="inlineStr">
        <is>
          <t>Accum Depr</t>
        </is>
      </c>
      <c r="G9" s="91" t="inlineStr">
        <is>
          <t>Accum Imp</t>
        </is>
      </c>
    </row>
    <row r="10">
      <c r="A10" s="92" t="n">
        <v>1</v>
      </c>
      <c r="B10" s="93">
        <f>Variable_Matrix!C6</f>
        <v/>
      </c>
      <c r="C10" s="93">
        <f>Variable_Matrix!C6/Variable_Matrix!C14</f>
        <v/>
      </c>
      <c r="D10" s="94" t="n">
        <v>2000000</v>
      </c>
      <c r="E10" s="93">
        <f>B10-C10-D10</f>
        <v/>
      </c>
      <c r="F10" s="93">
        <f>SUM(C$10:C10)</f>
        <v/>
      </c>
      <c r="G10" s="93">
        <f>SUM(D$10:D10)</f>
        <v/>
      </c>
    </row>
    <row r="11">
      <c r="A11" s="95" t="n">
        <v>2</v>
      </c>
      <c r="B11" s="53">
        <f>E10</f>
        <v/>
      </c>
      <c r="C11" s="53">
        <f>Variable_Matrix!C6/Variable_Matrix!C14</f>
        <v/>
      </c>
      <c r="D11" s="96" t="n">
        <v>0</v>
      </c>
      <c r="E11" s="53">
        <f>B11-C11-D11</f>
        <v/>
      </c>
      <c r="F11" s="53">
        <f>SUM(C$10:C11)</f>
        <v/>
      </c>
      <c r="G11" s="53">
        <f>SUM(D$10:D11)</f>
        <v/>
      </c>
    </row>
    <row r="12">
      <c r="A12" s="92" t="n">
        <v>3</v>
      </c>
      <c r="B12" s="93">
        <f>E11</f>
        <v/>
      </c>
      <c r="C12" s="93">
        <f>Variable_Matrix!C6/Variable_Matrix!C14</f>
        <v/>
      </c>
      <c r="D12" s="94" t="n">
        <v>0</v>
      </c>
      <c r="E12" s="93">
        <f>B12-C12-D12</f>
        <v/>
      </c>
      <c r="F12" s="93">
        <f>SUM(C$10:C12)</f>
        <v/>
      </c>
      <c r="G12" s="93">
        <f>SUM(D$10:D12)</f>
        <v/>
      </c>
    </row>
  </sheetData>
  <mergeCells count="2">
    <mergeCell ref="A8:G8"/>
    <mergeCell ref="A1:G1"/>
  </mergeCells>
  <pageMargins left="0.75" right="0.75" top="1" bottom="1" header="0.5" footer="0.5"/>
</worksheet>
</file>

<file path=xl/worksheets/sheet8.xml><?xml version="1.0" encoding="utf-8"?>
<worksheet xmlns="http://schemas.openxmlformats.org/spreadsheetml/2006/main">
  <sheetPr>
    <tabColor rgb="0016A085"/>
    <outlinePr summaryBelow="1" summaryRight="1"/>
    <pageSetUpPr/>
  </sheetPr>
  <dimension ref="A1:G13"/>
  <sheetViews>
    <sheetView showGridLines="0" workbookViewId="0">
      <selection activeCell="A1" sqref="A1"/>
    </sheetView>
  </sheetViews>
  <sheetFormatPr baseColWidth="8" defaultRowHeight="15"/>
  <cols>
    <col width="30" customWidth="1" min="1" max="1"/>
    <col width="4" customWidth="1" min="2" max="2"/>
    <col width="20" customWidth="1" min="3" max="3"/>
    <col width="18" customWidth="1" min="4" max="4"/>
    <col width="18" customWidth="1" min="5" max="5"/>
    <col width="20" customWidth="1" min="6" max="6"/>
    <col width="18" customWidth="1" min="7" max="7"/>
  </cols>
  <sheetData>
    <row r="1" ht="30" customHeight="1">
      <c r="A1" s="70" t="inlineStr">
        <is>
          <t>LEASE MODULE — IFRS 16 | Amortisation Schedule</t>
        </is>
      </c>
    </row>
    <row r="2">
      <c r="A2" s="82" t="inlineStr">
        <is>
          <t>Annual Lease Payment (PKR):</t>
        </is>
      </c>
      <c r="C2" s="83">
        <f>Variable_Matrix!C8</f>
        <v/>
      </c>
    </row>
    <row r="3">
      <c r="A3" s="82" t="inlineStr">
        <is>
          <t>Discount Rate:</t>
        </is>
      </c>
      <c r="C3" s="97">
        <f>Variable_Matrix!C9</f>
        <v/>
      </c>
    </row>
    <row r="4">
      <c r="A4" s="82" t="inlineStr">
        <is>
          <t>Lease Term (Years):</t>
        </is>
      </c>
      <c r="C4" s="83">
        <f>Variable_Matrix!C10</f>
        <v/>
      </c>
    </row>
    <row r="5">
      <c r="A5" s="82" t="inlineStr">
        <is>
          <t>PV of Lease Liability (ROU):</t>
        </is>
      </c>
      <c r="C5" s="98">
        <f>PV(C3,C4,-C2)</f>
        <v/>
      </c>
      <c r="D5" s="85" t="inlineStr">
        <is>
          <t>← IFRS 16 initial measurement basis</t>
        </is>
      </c>
    </row>
    <row r="7" ht="20" customHeight="1">
      <c r="A7" s="43" t="inlineStr">
        <is>
          <t>Year</t>
        </is>
      </c>
      <c r="B7" s="43" t="inlineStr">
        <is>
          <t>Opening Liability</t>
        </is>
      </c>
      <c r="C7" s="43" t="inlineStr">
        <is>
          <t>Interest (13%)</t>
        </is>
      </c>
      <c r="D7" s="43" t="inlineStr">
        <is>
          <t>Lease Payment</t>
        </is>
      </c>
      <c r="E7" s="43" t="inlineStr">
        <is>
          <t>Principal</t>
        </is>
      </c>
      <c r="F7" s="43" t="inlineStr">
        <is>
          <t>Closing Liability</t>
        </is>
      </c>
      <c r="G7" s="43" t="inlineStr">
        <is>
          <t>ROU Depr</t>
        </is>
      </c>
    </row>
    <row r="8">
      <c r="A8" s="99" t="n">
        <v>1</v>
      </c>
      <c r="B8" s="30">
        <f>C5</f>
        <v/>
      </c>
      <c r="C8" s="30">
        <f>B8*C$3</f>
        <v/>
      </c>
      <c r="D8" s="30">
        <f>C$2</f>
        <v/>
      </c>
      <c r="E8" s="30">
        <f>D8-C8</f>
        <v/>
      </c>
      <c r="F8" s="30">
        <f>B8-E8</f>
        <v/>
      </c>
      <c r="G8" s="30">
        <f>C$5/C$4</f>
        <v/>
      </c>
    </row>
    <row r="9">
      <c r="A9" s="100" t="n">
        <v>2</v>
      </c>
      <c r="B9" s="28">
        <f>F8</f>
        <v/>
      </c>
      <c r="C9" s="28">
        <f>B9*C$3</f>
        <v/>
      </c>
      <c r="D9" s="28">
        <f>C$2</f>
        <v/>
      </c>
      <c r="E9" s="28">
        <f>D9-C9</f>
        <v/>
      </c>
      <c r="F9" s="28">
        <f>B9-E9</f>
        <v/>
      </c>
      <c r="G9" s="28">
        <f>C$5/C$4</f>
        <v/>
      </c>
    </row>
    <row r="10">
      <c r="A10" s="99" t="n">
        <v>3</v>
      </c>
      <c r="B10" s="30">
        <f>F9</f>
        <v/>
      </c>
      <c r="C10" s="30">
        <f>B10*C$3</f>
        <v/>
      </c>
      <c r="D10" s="30">
        <f>C$2</f>
        <v/>
      </c>
      <c r="E10" s="30">
        <f>D10-C10</f>
        <v/>
      </c>
      <c r="F10" s="30">
        <f>B10-E10</f>
        <v/>
      </c>
      <c r="G10" s="30">
        <f>C$5/C$4</f>
        <v/>
      </c>
    </row>
    <row r="11">
      <c r="A11" s="100" t="n">
        <v>4</v>
      </c>
      <c r="B11" s="28">
        <f>F10</f>
        <v/>
      </c>
      <c r="C11" s="28">
        <f>B11*C$3</f>
        <v/>
      </c>
      <c r="D11" s="28">
        <f>C$2</f>
        <v/>
      </c>
      <c r="E11" s="28">
        <f>D11-C11</f>
        <v/>
      </c>
      <c r="F11" s="28">
        <f>B11-E11</f>
        <v/>
      </c>
      <c r="G11" s="28">
        <f>C$5/C$4</f>
        <v/>
      </c>
    </row>
    <row r="12">
      <c r="A12" s="99" t="n">
        <v>5</v>
      </c>
      <c r="B12" s="30">
        <f>F11</f>
        <v/>
      </c>
      <c r="C12" s="30">
        <f>B12*C$3</f>
        <v/>
      </c>
      <c r="D12" s="30">
        <f>C$2</f>
        <v/>
      </c>
      <c r="E12" s="30">
        <f>D12-C12</f>
        <v/>
      </c>
      <c r="F12" s="30">
        <f>B12-E12</f>
        <v/>
      </c>
      <c r="G12" s="30">
        <f>C$5/C$4</f>
        <v/>
      </c>
    </row>
    <row r="13">
      <c r="A13" s="67" t="inlineStr">
        <is>
          <t>Totals</t>
        </is>
      </c>
      <c r="C13" s="68">
        <f>SUM(C8:C12)</f>
        <v/>
      </c>
      <c r="D13" s="68">
        <f>SUM(D8:D12)</f>
        <v/>
      </c>
      <c r="E13" s="68">
        <f>SUM(E8:E12)</f>
        <v/>
      </c>
      <c r="G13" s="68">
        <f>SUM(G8:G12)</f>
        <v/>
      </c>
    </row>
  </sheetData>
  <mergeCells count="1">
    <mergeCell ref="A1:G1"/>
  </mergeCells>
  <pageMargins left="0.75" right="0.75" top="1" bottom="1" header="0.5" footer="0.5"/>
</worksheet>
</file>

<file path=xl/worksheets/sheet9.xml><?xml version="1.0" encoding="utf-8"?>
<worksheet xmlns="http://schemas.openxmlformats.org/spreadsheetml/2006/main">
  <sheetPr>
    <tabColor rgb="00D35400"/>
    <outlinePr summaryBelow="1" summaryRight="1"/>
    <pageSetUpPr/>
  </sheetPr>
  <dimension ref="A1:G11"/>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70" t="inlineStr">
        <is>
          <t>STATEMENT OF CHANGES IN EQUITY — Year Ended 31 December 2024</t>
        </is>
      </c>
    </row>
    <row r="2" ht="20" customHeight="1">
      <c r="A2" s="43" t="inlineStr">
        <is>
          <t>Item</t>
        </is>
      </c>
      <c r="B2" s="43" t="inlineStr">
        <is>
          <t>Share Capital</t>
        </is>
      </c>
      <c r="C2" s="43" t="inlineStr">
        <is>
          <t>Share Premium</t>
        </is>
      </c>
      <c r="D2" s="43" t="inlineStr">
        <is>
          <t>Ret. Earnings</t>
        </is>
      </c>
      <c r="E2" s="43" t="inlineStr">
        <is>
          <t>Reval. Surplus</t>
        </is>
      </c>
      <c r="F2" s="43" t="inlineStr">
        <is>
          <t>Treasury Shares</t>
        </is>
      </c>
      <c r="G2" s="43" t="inlineStr">
        <is>
          <t>Total Equity</t>
        </is>
      </c>
    </row>
    <row r="3" ht="18" customHeight="1">
      <c r="A3" s="101" t="inlineStr">
        <is>
          <t>Opening Balance (1 Jan 2024)</t>
        </is>
      </c>
      <c r="B3" s="102" t="n">
        <v>0</v>
      </c>
      <c r="C3" s="102" t="n">
        <v>0</v>
      </c>
      <c r="D3" s="102" t="n">
        <v>0</v>
      </c>
      <c r="E3" s="102" t="n">
        <v>0</v>
      </c>
      <c r="F3" s="102" t="n">
        <v>0</v>
      </c>
      <c r="G3" s="103">
        <f>SUM(B3:F3)</f>
        <v/>
      </c>
    </row>
    <row r="4" ht="18" customHeight="1">
      <c r="A4" s="104" t="inlineStr">
        <is>
          <t>T01 — Share Issuance</t>
        </is>
      </c>
      <c r="B4" s="30">
        <f>General_Ledger!E19-General_Ledger!D19</f>
        <v/>
      </c>
      <c r="C4" s="30">
        <f>General_Ledger!E20-General_Ledger!D20</f>
        <v/>
      </c>
      <c r="D4" s="105" t="n">
        <v>0</v>
      </c>
      <c r="E4" s="105" t="n">
        <v>0</v>
      </c>
      <c r="F4" s="105" t="n">
        <v>0</v>
      </c>
      <c r="G4" s="87">
        <f>SUM(B4:F4)</f>
        <v/>
      </c>
    </row>
    <row r="5" ht="18" customHeight="1">
      <c r="A5" s="104" t="inlineStr">
        <is>
          <t>T05 — Revaluation Surplus</t>
        </is>
      </c>
      <c r="B5" s="105" t="n">
        <v>0</v>
      </c>
      <c r="C5" s="105" t="n">
        <v>0</v>
      </c>
      <c r="D5" s="105" t="n">
        <v>0</v>
      </c>
      <c r="E5" s="30">
        <f>Variable_Matrix!C16</f>
        <v/>
      </c>
      <c r="F5" s="105" t="n">
        <v>0</v>
      </c>
      <c r="G5" s="87">
        <f>SUM(B5:F5)</f>
        <v/>
      </c>
    </row>
    <row r="6" ht="18" customHeight="1">
      <c r="A6" s="104" t="inlineStr">
        <is>
          <t>T27/T28 — Dividends</t>
        </is>
      </c>
      <c r="B6" s="105" t="n">
        <v>0</v>
      </c>
      <c r="C6" s="105" t="n">
        <v>0</v>
      </c>
      <c r="D6" s="105" t="n">
        <v>-810000</v>
      </c>
      <c r="E6" s="105" t="n">
        <v>0</v>
      </c>
      <c r="F6" s="105" t="n">
        <v>0</v>
      </c>
      <c r="G6" s="87">
        <f>SUM(B6:F6)</f>
        <v/>
      </c>
    </row>
    <row r="7" ht="18" customHeight="1">
      <c r="A7" s="104" t="inlineStr">
        <is>
          <t>T29 — Bonus Issue</t>
        </is>
      </c>
      <c r="B7" s="105" t="n">
        <v>275000</v>
      </c>
      <c r="C7" s="105" t="n">
        <v>0</v>
      </c>
      <c r="D7" s="105" t="n">
        <v>-275000</v>
      </c>
      <c r="E7" s="105" t="n">
        <v>0</v>
      </c>
      <c r="F7" s="105" t="n">
        <v>0</v>
      </c>
      <c r="G7" s="87">
        <f>SUM(B7:F7)</f>
        <v/>
      </c>
    </row>
    <row r="8" ht="18" customHeight="1">
      <c r="A8" s="104" t="inlineStr">
        <is>
          <t>T30 — Private Placement</t>
        </is>
      </c>
      <c r="B8" s="105" t="n">
        <v>500000</v>
      </c>
      <c r="C8" s="105" t="n">
        <v>1150000</v>
      </c>
      <c r="D8" s="105" t="n">
        <v>0</v>
      </c>
      <c r="E8" s="105" t="n">
        <v>0</v>
      </c>
      <c r="F8" s="105" t="n">
        <v>0</v>
      </c>
      <c r="G8" s="87">
        <f>SUM(B8:F8)</f>
        <v/>
      </c>
    </row>
    <row r="9" ht="18" customHeight="1">
      <c r="A9" s="104" t="inlineStr">
        <is>
          <t>T26 — Treasury Shares</t>
        </is>
      </c>
      <c r="B9" s="105" t="n">
        <v>0</v>
      </c>
      <c r="C9" s="105" t="n">
        <v>0</v>
      </c>
      <c r="D9" s="105" t="n">
        <v>0</v>
      </c>
      <c r="E9" s="105" t="n">
        <v>0</v>
      </c>
      <c r="F9" s="105" t="n">
        <v>-300000</v>
      </c>
      <c r="G9" s="87">
        <f>SUM(B9:F9)</f>
        <v/>
      </c>
    </row>
    <row r="10" ht="18" customHeight="1">
      <c r="A10" s="104" t="inlineStr">
        <is>
          <t>Net Profit for Year</t>
        </is>
      </c>
      <c r="B10" s="105" t="n">
        <v>0</v>
      </c>
      <c r="C10" s="105" t="n">
        <v>0</v>
      </c>
      <c r="D10" s="30">
        <f>Profit_Loss!C37</f>
        <v/>
      </c>
      <c r="E10" s="105" t="n">
        <v>0</v>
      </c>
      <c r="F10" s="105" t="n">
        <v>0</v>
      </c>
      <c r="G10" s="87">
        <f>SUM(B10:F10)</f>
        <v/>
      </c>
    </row>
    <row r="11" ht="18" customHeight="1">
      <c r="A11" s="106" t="inlineStr">
        <is>
          <t>Closing Balance (31 Dec 2024)</t>
        </is>
      </c>
      <c r="B11" s="107">
        <f>General_Ledger!F19</f>
        <v/>
      </c>
      <c r="C11" s="107">
        <f>General_Ledger!F20</f>
        <v/>
      </c>
      <c r="D11" s="107">
        <f>General_Ledger!F22</f>
        <v/>
      </c>
      <c r="E11" s="107">
        <f>General_Ledger!F21</f>
        <v/>
      </c>
      <c r="F11" s="107">
        <f>-General_Ledger!F23</f>
        <v/>
      </c>
      <c r="G11" s="108">
        <f>SUM(B11:F11)</f>
        <v/>
      </c>
    </row>
  </sheetData>
  <mergeCells count="1">
    <mergeCell ref="A1:G1"/>
  </mergeCells>
  <pageMargins left="0.75" right="0.75" top="1" bottom="1" header="0.5" footer="0.5"/>
</worksheet>
</file>

<file path=xl/worksheets/sheet10.xml><?xml version="1.0" encoding="utf-8"?>
<worksheet xmlns="http://schemas.openxmlformats.org/spreadsheetml/2006/main">
  <sheetPr>
    <tabColor rgb="002E86C1"/>
    <outlinePr summaryBelow="1" summaryRight="1"/>
    <pageSetUpPr/>
  </sheetPr>
  <dimension ref="A1:D39"/>
  <sheetViews>
    <sheetView showGridLines="0" workbookViewId="0">
      <selection activeCell="A1" sqref="A1"/>
    </sheetView>
  </sheetViews>
  <sheetFormatPr baseColWidth="8" defaultRowHeight="15"/>
  <cols>
    <col width="38" customWidth="1" min="1" max="1"/>
    <col width="12" customWidth="1" min="2" max="2"/>
    <col width="20" customWidth="1" min="3" max="3"/>
    <col width="28" customWidth="1" min="4" max="4"/>
  </cols>
  <sheetData>
    <row r="1" ht="30" customHeight="1">
      <c r="A1" s="70" t="inlineStr">
        <is>
          <t>STATEMENT OF PROFIT OR LOSS — Year Ended 31 December 2024</t>
        </is>
      </c>
    </row>
    <row r="2" ht="18" customHeight="1">
      <c r="A2" s="26" t="inlineStr">
        <is>
          <t>Prepared in Accordance with IAS 1 (Revised)</t>
        </is>
      </c>
    </row>
    <row r="3" ht="20" customHeight="1">
      <c r="A3" s="43" t="inlineStr">
        <is>
          <t>Description</t>
        </is>
      </c>
      <c r="B3" s="43" t="inlineStr">
        <is>
          <t>IFRS Ref</t>
        </is>
      </c>
      <c r="C3" s="43" t="inlineStr">
        <is>
          <t>Amount (PKR)</t>
        </is>
      </c>
      <c r="D3" s="43" t="inlineStr">
        <is>
          <t>Notes</t>
        </is>
      </c>
    </row>
    <row r="4" ht="17" customHeight="1">
      <c r="A4" s="109" t="inlineStr">
        <is>
          <t>REVENUE</t>
        </is>
      </c>
    </row>
    <row r="5" ht="17" customHeight="1">
      <c r="A5" s="92" t="inlineStr">
        <is>
          <t>Sales Revenue</t>
        </is>
      </c>
      <c r="B5" s="110" t="inlineStr">
        <is>
          <t>IAS 1</t>
        </is>
      </c>
      <c r="C5" s="30">
        <f>General_Ledger!F24</f>
        <v/>
      </c>
      <c r="D5" s="110" t="inlineStr">
        <is>
          <t>T07+T11</t>
        </is>
      </c>
    </row>
    <row r="6" ht="17" customHeight="1">
      <c r="A6" s="92" t="inlineStr">
        <is>
          <t>Less: Sales Returns</t>
        </is>
      </c>
      <c r="B6" s="110" t="inlineStr">
        <is>
          <t>IAS 1</t>
        </is>
      </c>
      <c r="C6" s="30">
        <f>-General_Ledger!F25</f>
        <v/>
      </c>
      <c r="D6" s="110" t="inlineStr">
        <is>
          <t>T12</t>
        </is>
      </c>
    </row>
    <row r="7" ht="17" customHeight="1">
      <c r="A7" s="111" t="inlineStr">
        <is>
          <t>Net Revenue</t>
        </is>
      </c>
      <c r="B7" s="110" t="inlineStr"/>
      <c r="C7" s="107">
        <f>C5+C6</f>
        <v/>
      </c>
      <c r="D7" s="110" t="inlineStr"/>
    </row>
    <row r="8" ht="17" customHeight="1">
      <c r="A8" s="92" t="inlineStr"/>
      <c r="B8" s="110" t="inlineStr"/>
      <c r="C8" s="79" t="inlineStr"/>
      <c r="D8" s="110" t="inlineStr"/>
    </row>
    <row r="9" ht="17" customHeight="1">
      <c r="A9" s="109" t="inlineStr">
        <is>
          <t>COST OF SALES</t>
        </is>
      </c>
    </row>
    <row r="10" ht="17" customHeight="1">
      <c r="A10" s="92" t="inlineStr">
        <is>
          <t>Cost of Goods Sold</t>
        </is>
      </c>
      <c r="B10" s="110" t="inlineStr">
        <is>
          <t>IAS 2</t>
        </is>
      </c>
      <c r="C10" s="30">
        <f>-General_Ledger!F26</f>
        <v/>
      </c>
      <c r="D10" s="110" t="inlineStr">
        <is>
          <t>T08</t>
        </is>
      </c>
    </row>
    <row r="11" ht="17" customHeight="1">
      <c r="A11" s="92" t="inlineStr">
        <is>
          <t>Inventory Write-Down</t>
        </is>
      </c>
      <c r="B11" s="110" t="inlineStr">
        <is>
          <t>IAS 2</t>
        </is>
      </c>
      <c r="C11" s="30">
        <f>-General_Ledger!F27</f>
        <v/>
      </c>
      <c r="D11" s="110" t="inlineStr">
        <is>
          <t>T13</t>
        </is>
      </c>
    </row>
    <row r="12" ht="17" customHeight="1">
      <c r="A12" s="111" t="inlineStr">
        <is>
          <t>Total Cost of Sales</t>
        </is>
      </c>
      <c r="B12" s="110" t="inlineStr"/>
      <c r="C12" s="107">
        <f>-(C9+C10)</f>
        <v/>
      </c>
      <c r="D12" s="110" t="inlineStr"/>
    </row>
    <row r="13" ht="17" customHeight="1">
      <c r="A13" s="92" t="inlineStr"/>
      <c r="B13" s="110" t="inlineStr"/>
      <c r="C13" s="79" t="inlineStr"/>
      <c r="D13" s="110" t="inlineStr"/>
    </row>
    <row r="14" ht="17" customHeight="1">
      <c r="A14" s="111" t="inlineStr">
        <is>
          <t>GROSS PROFIT</t>
        </is>
      </c>
      <c r="B14" s="110" t="inlineStr"/>
      <c r="C14" s="107">
        <f>C7+C11</f>
        <v/>
      </c>
      <c r="D14" s="110" t="inlineStr"/>
    </row>
    <row r="15" ht="17" customHeight="1">
      <c r="A15" s="92" t="inlineStr"/>
      <c r="B15" s="110" t="inlineStr"/>
      <c r="C15" s="79" t="inlineStr"/>
      <c r="D15" s="110" t="inlineStr"/>
    </row>
    <row r="16" ht="17" customHeight="1">
      <c r="A16" s="109" t="inlineStr">
        <is>
          <t>OPERATING EXPENSES</t>
        </is>
      </c>
    </row>
    <row r="17" ht="17" customHeight="1">
      <c r="A17" s="92" t="inlineStr">
        <is>
          <t>Depreciation — Machinery</t>
        </is>
      </c>
      <c r="B17" s="110" t="inlineStr">
        <is>
          <t>IAS 16</t>
        </is>
      </c>
      <c r="C17" s="30">
        <f>-General_Ledger!F32</f>
        <v/>
      </c>
      <c r="D17" s="110" t="inlineStr">
        <is>
          <t>T31</t>
        </is>
      </c>
    </row>
    <row r="18" ht="17" customHeight="1">
      <c r="A18" s="92" t="inlineStr">
        <is>
          <t>Amortisation — Dev Cost</t>
        </is>
      </c>
      <c r="B18" s="110" t="inlineStr">
        <is>
          <t>IAS 38</t>
        </is>
      </c>
      <c r="C18" s="30">
        <f>-General_Ledger!F33</f>
        <v/>
      </c>
      <c r="D18" s="110" t="inlineStr">
        <is>
          <t>T25</t>
        </is>
      </c>
    </row>
    <row r="19" ht="17" customHeight="1">
      <c r="A19" s="92" t="inlineStr">
        <is>
          <t>Impairment Loss</t>
        </is>
      </c>
      <c r="B19" s="110" t="inlineStr">
        <is>
          <t>IAS 36</t>
        </is>
      </c>
      <c r="C19" s="30">
        <f>-General_Ledger!F34</f>
        <v/>
      </c>
      <c r="D19" s="110" t="inlineStr">
        <is>
          <t>T24</t>
        </is>
      </c>
    </row>
    <row r="20" ht="17" customHeight="1">
      <c r="A20" s="92" t="inlineStr">
        <is>
          <t>Research Expense</t>
        </is>
      </c>
      <c r="B20" s="110" t="inlineStr">
        <is>
          <t>IAS 38</t>
        </is>
      </c>
      <c r="C20" s="30">
        <f>-General_Ledger!F31</f>
        <v/>
      </c>
      <c r="D20" s="110" t="inlineStr">
        <is>
          <t>T16</t>
        </is>
      </c>
    </row>
    <row r="21" ht="17" customHeight="1">
      <c r="A21" s="92" t="inlineStr">
        <is>
          <t>Legal Expense</t>
        </is>
      </c>
      <c r="B21" s="110" t="inlineStr">
        <is>
          <t>IAS 37</t>
        </is>
      </c>
      <c r="C21" s="30">
        <f>-(General_Ledger!F28+General_Ledger!F29)</f>
        <v/>
      </c>
      <c r="D21" s="110" t="inlineStr">
        <is>
          <t>T02+T21</t>
        </is>
      </c>
    </row>
    <row r="22" ht="17" customHeight="1">
      <c r="A22" s="92" t="inlineStr">
        <is>
          <t>Bad Debt Expense</t>
        </is>
      </c>
      <c r="B22" s="110" t="inlineStr">
        <is>
          <t>IAS 1</t>
        </is>
      </c>
      <c r="C22" s="30">
        <f>-General_Ledger!F30</f>
        <v/>
      </c>
      <c r="D22" s="110" t="inlineStr">
        <is>
          <t>T15</t>
        </is>
      </c>
    </row>
    <row r="23" ht="17" customHeight="1">
      <c r="A23" s="92" t="inlineStr">
        <is>
          <t>Insurance Expense</t>
        </is>
      </c>
      <c r="B23" s="110" t="inlineStr">
        <is>
          <t>IAS 1</t>
        </is>
      </c>
      <c r="C23" s="30">
        <f>-General_Ledger!F36</f>
        <v/>
      </c>
      <c r="D23" s="110" t="inlineStr">
        <is>
          <t>T33</t>
        </is>
      </c>
    </row>
    <row r="24" ht="17" customHeight="1">
      <c r="A24" s="92" t="inlineStr">
        <is>
          <t>Utilities Expense</t>
        </is>
      </c>
      <c r="B24" s="110" t="inlineStr">
        <is>
          <t>IAS 1</t>
        </is>
      </c>
      <c r="C24" s="30">
        <f>-General_Ledger!F37</f>
        <v/>
      </c>
      <c r="D24" s="110" t="inlineStr">
        <is>
          <t>T34</t>
        </is>
      </c>
    </row>
    <row r="25" ht="17" customHeight="1">
      <c r="A25" s="92" t="inlineStr">
        <is>
          <t>Salaries Expense</t>
        </is>
      </c>
      <c r="B25" s="110" t="inlineStr">
        <is>
          <t>IAS 1</t>
        </is>
      </c>
      <c r="C25" s="30">
        <f>-General_Ledger!F38</f>
        <v/>
      </c>
      <c r="D25" s="110" t="inlineStr">
        <is>
          <t>T35</t>
        </is>
      </c>
    </row>
    <row r="26" ht="17" customHeight="1">
      <c r="A26" s="111" t="inlineStr">
        <is>
          <t>Total Operating Expenses</t>
        </is>
      </c>
      <c r="B26" s="110" t="inlineStr"/>
      <c r="C26" s="107">
        <f>SUM(C15:C25)</f>
        <v/>
      </c>
      <c r="D26" s="110" t="inlineStr"/>
    </row>
    <row r="27" ht="17" customHeight="1">
      <c r="A27" s="92" t="inlineStr"/>
      <c r="B27" s="110" t="inlineStr"/>
      <c r="C27" s="79" t="inlineStr"/>
      <c r="D27" s="110" t="inlineStr"/>
    </row>
    <row r="28" ht="17" customHeight="1">
      <c r="A28" s="111" t="inlineStr">
        <is>
          <t>OPERATING PROFIT (EBIT)</t>
        </is>
      </c>
      <c r="B28" s="110" t="inlineStr"/>
      <c r="C28" s="107">
        <f>C12+C26</f>
        <v/>
      </c>
      <c r="D28" s="110" t="inlineStr"/>
    </row>
    <row r="29" ht="17" customHeight="1">
      <c r="A29" s="92" t="inlineStr"/>
      <c r="B29" s="110" t="inlineStr"/>
      <c r="C29" s="79" t="inlineStr"/>
      <c r="D29" s="110" t="inlineStr"/>
    </row>
    <row r="30" ht="17" customHeight="1">
      <c r="A30" s="109" t="inlineStr">
        <is>
          <t>FINANCE COSTS</t>
        </is>
      </c>
    </row>
    <row r="31" ht="17" customHeight="1">
      <c r="A31" s="92" t="inlineStr">
        <is>
          <t>Interest Expense — Lease</t>
        </is>
      </c>
      <c r="B31" s="110" t="inlineStr">
        <is>
          <t>IFRS 16</t>
        </is>
      </c>
      <c r="C31" s="30">
        <f>-General_Ledger!F35</f>
        <v/>
      </c>
      <c r="D31" s="110" t="inlineStr">
        <is>
          <t>T20</t>
        </is>
      </c>
    </row>
    <row r="32" ht="17" customHeight="1">
      <c r="A32" s="92" t="inlineStr"/>
      <c r="B32" s="110" t="inlineStr"/>
      <c r="C32" s="79" t="inlineStr"/>
      <c r="D32" s="110" t="inlineStr"/>
    </row>
    <row r="33" ht="17" customHeight="1">
      <c r="A33" s="111" t="inlineStr">
        <is>
          <t>PROFIT BEFORE TAX</t>
        </is>
      </c>
      <c r="B33" s="110" t="inlineStr"/>
      <c r="C33" s="107">
        <f>C28+C31</f>
        <v/>
      </c>
      <c r="D33" s="110" t="inlineStr"/>
    </row>
    <row r="34" ht="17" customHeight="1">
      <c r="A34" s="92" t="inlineStr">
        <is>
          <t>Income Tax Expense</t>
        </is>
      </c>
      <c r="B34" s="110" t="inlineStr">
        <is>
          <t>IAS 12</t>
        </is>
      </c>
      <c r="C34" s="30">
        <f>0</f>
        <v/>
      </c>
      <c r="D34" s="110" t="inlineStr"/>
    </row>
    <row r="35" ht="17" customHeight="1">
      <c r="A35" s="111" t="inlineStr">
        <is>
          <t>NET PROFIT FOR THE YEAR</t>
        </is>
      </c>
      <c r="B35" s="110" t="inlineStr"/>
      <c r="C35" s="107">
        <f>C32+C33</f>
        <v/>
      </c>
      <c r="D35" s="110" t="inlineStr"/>
    </row>
    <row r="36" ht="17" customHeight="1">
      <c r="A36" s="92" t="inlineStr"/>
      <c r="B36" s="110" t="inlineStr"/>
      <c r="C36" s="79" t="inlineStr"/>
      <c r="D36" s="110" t="inlineStr"/>
    </row>
    <row r="37" ht="17" customHeight="1">
      <c r="A37" s="109" t="inlineStr">
        <is>
          <t>OTHER COMPREHENSIVE INCOME</t>
        </is>
      </c>
    </row>
    <row r="38" ht="17" customHeight="1">
      <c r="A38" s="92" t="inlineStr">
        <is>
          <t>Revaluation Surplus — Land</t>
        </is>
      </c>
      <c r="B38" s="110" t="inlineStr">
        <is>
          <t>IAS 16</t>
        </is>
      </c>
      <c r="C38" s="30">
        <f>General_Ledger!F21</f>
        <v/>
      </c>
      <c r="D38" s="110" t="inlineStr">
        <is>
          <t>T05</t>
        </is>
      </c>
    </row>
    <row r="39" ht="17" customHeight="1">
      <c r="A39" s="111" t="inlineStr">
        <is>
          <t>TOTAL COMPREHENSIVE INCOME</t>
        </is>
      </c>
      <c r="B39" s="110" t="inlineStr"/>
      <c r="C39" s="107">
        <f>C34+C38</f>
        <v/>
      </c>
      <c r="D39" s="110" t="inlineStr"/>
    </row>
  </sheetData>
  <mergeCells count="7">
    <mergeCell ref="A1:D1"/>
    <mergeCell ref="A37:D37"/>
    <mergeCell ref="A9:D9"/>
    <mergeCell ref="A4:D4"/>
    <mergeCell ref="A30:D30"/>
    <mergeCell ref="A16:D16"/>
    <mergeCell ref="A2:D2"/>
  </mergeCells>
  <pageMargins left="0.75" right="0.75" top="1" bottom="1" header="0.5" footer="0.5"/>
</worksheet>
</file>

<file path=xl/worksheets/sheet11.xml><?xml version="1.0" encoding="utf-8"?>
<worksheet xmlns="http://schemas.openxmlformats.org/spreadsheetml/2006/main">
  <sheetPr>
    <tabColor rgb="001E8449"/>
    <outlinePr summaryBelow="1" summaryRight="1"/>
    <pageSetUpPr/>
  </sheetPr>
  <dimension ref="A1:D50"/>
  <sheetViews>
    <sheetView showGridLines="0" workbookViewId="0">
      <selection activeCell="A1" sqref="A1"/>
    </sheetView>
  </sheetViews>
  <sheetFormatPr baseColWidth="8" defaultRowHeight="15"/>
  <cols>
    <col width="38" customWidth="1" min="1" max="1"/>
    <col width="6" customWidth="1" min="2" max="2"/>
    <col width="22" customWidth="1" min="3" max="3"/>
    <col width="16" customWidth="1" min="4" max="4"/>
  </cols>
  <sheetData>
    <row r="1" ht="30" customHeight="1">
      <c r="A1" s="70" t="inlineStr">
        <is>
          <t>STATEMENT OF FINANCIAL POSITION — As at 31 December 2024</t>
        </is>
      </c>
    </row>
    <row r="2" ht="16" customHeight="1">
      <c r="A2" s="26" t="inlineStr">
        <is>
          <t>Prepared in Accordance with IAS 1</t>
        </is>
      </c>
    </row>
    <row r="3" ht="20" customHeight="1">
      <c r="A3" s="43" t="inlineStr">
        <is>
          <t>Description</t>
        </is>
      </c>
      <c r="B3" s="43" t="inlineStr">
        <is>
          <t>Note</t>
        </is>
      </c>
      <c r="C3" s="43" t="inlineStr">
        <is>
          <t>Amount (PKR)</t>
        </is>
      </c>
      <c r="D3" s="43" t="inlineStr">
        <is>
          <t>IFRS Ref</t>
        </is>
      </c>
    </row>
    <row r="4" ht="16" customHeight="1">
      <c r="A4" s="109" t="inlineStr">
        <is>
          <t>NON-CURRENT ASSETS</t>
        </is>
      </c>
    </row>
    <row r="5" ht="16" customHeight="1">
      <c r="A5" s="92" t="inlineStr">
        <is>
          <t>Machinery — Cost</t>
        </is>
      </c>
      <c r="B5" s="110" t="inlineStr"/>
      <c r="C5" s="30">
        <f>General_Ledger!F7</f>
        <v/>
      </c>
      <c r="D5" s="110" t="inlineStr">
        <is>
          <t>IAS 16</t>
        </is>
      </c>
    </row>
    <row r="6" ht="16" customHeight="1">
      <c r="A6" s="92" t="inlineStr">
        <is>
          <t>Less: Accum. Depreciation</t>
        </is>
      </c>
      <c r="B6" s="110" t="inlineStr"/>
      <c r="C6" s="30">
        <f>-General_Ledger!F11</f>
        <v/>
      </c>
      <c r="D6" s="110" t="inlineStr">
        <is>
          <t>IAS 16</t>
        </is>
      </c>
    </row>
    <row r="7" ht="16" customHeight="1">
      <c r="A7" s="92" t="inlineStr">
        <is>
          <t>Less: Accum. Impairment</t>
        </is>
      </c>
      <c r="B7" s="110" t="inlineStr"/>
      <c r="C7" s="30">
        <f>-General_Ledger!F12</f>
        <v/>
      </c>
      <c r="D7" s="110" t="inlineStr">
        <is>
          <t>IAS 36</t>
        </is>
      </c>
    </row>
    <row r="8" ht="16" customHeight="1">
      <c r="A8" s="111" t="inlineStr">
        <is>
          <t>Machinery — Net Carrying Amount</t>
        </is>
      </c>
      <c r="B8" s="110" t="inlineStr"/>
      <c r="C8" s="107">
        <f>C5+C6+C7</f>
        <v/>
      </c>
      <c r="D8" s="110" t="inlineStr"/>
    </row>
    <row r="9" ht="16" customHeight="1">
      <c r="A9" s="92" t="inlineStr">
        <is>
          <t>Land (incl. Revaluation)</t>
        </is>
      </c>
      <c r="B9" s="110" t="inlineStr"/>
      <c r="C9" s="30">
        <f>General_Ledger!F8</f>
        <v/>
      </c>
      <c r="D9" s="110" t="inlineStr">
        <is>
          <t>IAS 16</t>
        </is>
      </c>
    </row>
    <row r="10" ht="16" customHeight="1">
      <c r="A10" s="92" t="inlineStr">
        <is>
          <t>Right-of-Use Asset — Cost</t>
        </is>
      </c>
      <c r="B10" s="110" t="inlineStr"/>
      <c r="C10" s="30">
        <f>General_Ledger!F9</f>
        <v/>
      </c>
      <c r="D10" s="110" t="inlineStr">
        <is>
          <t>IFRS 16</t>
        </is>
      </c>
    </row>
    <row r="11" ht="16" customHeight="1">
      <c r="A11" s="92" t="inlineStr">
        <is>
          <t>Less: ROU Accumulated Depr.</t>
        </is>
      </c>
      <c r="B11" s="110" t="inlineStr"/>
      <c r="C11" s="30">
        <f>-Lease_Module!G8</f>
        <v/>
      </c>
      <c r="D11" s="110" t="inlineStr">
        <is>
          <t>IFRS 16</t>
        </is>
      </c>
    </row>
    <row r="12" ht="16" customHeight="1">
      <c r="A12" s="111" t="inlineStr">
        <is>
          <t>ROU Asset — Net</t>
        </is>
      </c>
      <c r="B12" s="110" t="inlineStr"/>
      <c r="C12" s="107">
        <f>C10+C11</f>
        <v/>
      </c>
      <c r="D12" s="110" t="inlineStr"/>
    </row>
    <row r="13" ht="16" customHeight="1">
      <c r="A13" s="92" t="inlineStr">
        <is>
          <t>Intangible Asset — Dev Cost</t>
        </is>
      </c>
      <c r="B13" s="110" t="inlineStr"/>
      <c r="C13" s="30">
        <f>General_Ledger!F10</f>
        <v/>
      </c>
      <c r="D13" s="110" t="inlineStr">
        <is>
          <t>IAS 38</t>
        </is>
      </c>
    </row>
    <row r="14" ht="16" customHeight="1">
      <c r="A14" s="92" t="inlineStr">
        <is>
          <t>Less: Accum. Amortisation</t>
        </is>
      </c>
      <c r="B14" s="110" t="inlineStr"/>
      <c r="C14" s="30">
        <f>-General_Ledger!F13</f>
        <v/>
      </c>
      <c r="D14" s="110" t="inlineStr">
        <is>
          <t>IAS 38</t>
        </is>
      </c>
    </row>
    <row r="15" ht="16" customHeight="1">
      <c r="A15" s="111" t="inlineStr">
        <is>
          <t>Intangible — Net</t>
        </is>
      </c>
      <c r="B15" s="110" t="inlineStr"/>
      <c r="C15" s="107">
        <f>C14+C15</f>
        <v/>
      </c>
      <c r="D15" s="110" t="inlineStr"/>
    </row>
    <row r="16" ht="16" customHeight="1">
      <c r="A16" s="111" t="inlineStr">
        <is>
          <t>TOTAL NON-CURRENT ASSETS</t>
        </is>
      </c>
      <c r="B16" s="110" t="inlineStr"/>
      <c r="C16" s="107">
        <f>C8+C9+C12+C16</f>
        <v/>
      </c>
      <c r="D16" s="110" t="inlineStr"/>
    </row>
    <row r="17" ht="16" customHeight="1">
      <c r="A17" s="92" t="inlineStr"/>
      <c r="B17" s="110" t="inlineStr"/>
      <c r="C17" s="105" t="inlineStr"/>
      <c r="D17" s="110" t="inlineStr"/>
    </row>
    <row r="18" ht="16" customHeight="1">
      <c r="A18" s="109" t="inlineStr">
        <is>
          <t>CURRENT ASSETS</t>
        </is>
      </c>
    </row>
    <row r="19" ht="16" customHeight="1">
      <c r="A19" s="92" t="inlineStr">
        <is>
          <t>Inventories</t>
        </is>
      </c>
      <c r="B19" s="110" t="inlineStr"/>
      <c r="C19" s="30">
        <f>General_Ledger!F5</f>
        <v/>
      </c>
      <c r="D19" s="110" t="inlineStr">
        <is>
          <t>IAS 2</t>
        </is>
      </c>
    </row>
    <row r="20" ht="16" customHeight="1">
      <c r="A20" s="92" t="inlineStr">
        <is>
          <t>Accounts Receivable (net)</t>
        </is>
      </c>
      <c r="B20" s="110" t="inlineStr"/>
      <c r="C20" s="30">
        <f>General_Ledger!F4</f>
        <v/>
      </c>
      <c r="D20" s="110" t="inlineStr">
        <is>
          <t>IAS 1</t>
        </is>
      </c>
    </row>
    <row r="21" ht="16" customHeight="1">
      <c r="A21" s="92" t="inlineStr">
        <is>
          <t>Prepaid Insurance</t>
        </is>
      </c>
      <c r="B21" s="110" t="inlineStr"/>
      <c r="C21" s="30">
        <f>General_Ledger!F6</f>
        <v/>
      </c>
      <c r="D21" s="110" t="inlineStr">
        <is>
          <t>IAS 1</t>
        </is>
      </c>
    </row>
    <row r="22" ht="16" customHeight="1">
      <c r="A22" s="92" t="inlineStr">
        <is>
          <t>Cash and Cash Equivalents</t>
        </is>
      </c>
      <c r="B22" s="110" t="inlineStr"/>
      <c r="C22" s="30">
        <f>General_Ledger!F3</f>
        <v/>
      </c>
      <c r="D22" s="110" t="inlineStr">
        <is>
          <t>IAS 7</t>
        </is>
      </c>
    </row>
    <row r="23" ht="16" customHeight="1">
      <c r="A23" s="111" t="inlineStr">
        <is>
          <t>TOTAL CURRENT ASSETS</t>
        </is>
      </c>
      <c r="B23" s="110" t="inlineStr"/>
      <c r="C23" s="107">
        <f>SUM(C20:C23)</f>
        <v/>
      </c>
      <c r="D23" s="110" t="inlineStr"/>
    </row>
    <row r="24" ht="16" customHeight="1">
      <c r="A24" s="92" t="inlineStr"/>
      <c r="B24" s="110" t="inlineStr"/>
      <c r="C24" s="105" t="inlineStr"/>
      <c r="D24" s="110" t="inlineStr"/>
    </row>
    <row r="25" ht="16" customHeight="1">
      <c r="A25" s="111" t="inlineStr">
        <is>
          <t>TOTAL ASSETS</t>
        </is>
      </c>
      <c r="B25" s="110" t="inlineStr"/>
      <c r="C25" s="107">
        <f>C17+C24</f>
        <v/>
      </c>
      <c r="D25" s="110" t="inlineStr"/>
    </row>
    <row r="26" ht="16" customHeight="1">
      <c r="A26" s="92" t="inlineStr"/>
      <c r="B26" s="110" t="inlineStr"/>
      <c r="C26" s="105" t="inlineStr"/>
      <c r="D26" s="110" t="inlineStr"/>
    </row>
    <row r="27" ht="16" customHeight="1">
      <c r="A27" s="109" t="inlineStr">
        <is>
          <t>EQUITY</t>
        </is>
      </c>
    </row>
    <row r="28" ht="16" customHeight="1">
      <c r="A28" s="92" t="inlineStr">
        <is>
          <t>Share Capital</t>
        </is>
      </c>
      <c r="B28" s="110" t="inlineStr"/>
      <c r="C28" s="30">
        <f>General_Ledger!F19</f>
        <v/>
      </c>
      <c r="D28" s="110" t="inlineStr">
        <is>
          <t>IAS 1</t>
        </is>
      </c>
    </row>
    <row r="29" ht="16" customHeight="1">
      <c r="A29" s="92" t="inlineStr">
        <is>
          <t>Share Premium</t>
        </is>
      </c>
      <c r="B29" s="110" t="inlineStr"/>
      <c r="C29" s="30">
        <f>General_Ledger!F20</f>
        <v/>
      </c>
      <c r="D29" s="110" t="inlineStr">
        <is>
          <t>IAS 1</t>
        </is>
      </c>
    </row>
    <row r="30" ht="16" customHeight="1">
      <c r="A30" s="92" t="inlineStr">
        <is>
          <t>Retained Earnings</t>
        </is>
      </c>
      <c r="B30" s="110" t="inlineStr"/>
      <c r="C30" s="30">
        <f>General_Ledger!F22</f>
        <v/>
      </c>
      <c r="D30" s="110" t="inlineStr">
        <is>
          <t>IAS 1</t>
        </is>
      </c>
    </row>
    <row r="31" ht="16" customHeight="1">
      <c r="A31" s="92" t="inlineStr">
        <is>
          <t>Revaluation Surplus (OCI)</t>
        </is>
      </c>
      <c r="B31" s="110" t="inlineStr"/>
      <c r="C31" s="30">
        <f>General_Ledger!F21</f>
        <v/>
      </c>
      <c r="D31" s="110" t="inlineStr">
        <is>
          <t>IAS 16</t>
        </is>
      </c>
    </row>
    <row r="32" ht="16" customHeight="1">
      <c r="A32" s="92" t="inlineStr">
        <is>
          <t>Less: Treasury Shares</t>
        </is>
      </c>
      <c r="B32" s="110" t="inlineStr"/>
      <c r="C32" s="30">
        <f>-General_Ledger!F23</f>
        <v/>
      </c>
      <c r="D32" s="110" t="inlineStr">
        <is>
          <t>IAS 32</t>
        </is>
      </c>
    </row>
    <row r="33" ht="16" customHeight="1">
      <c r="A33" s="111" t="inlineStr">
        <is>
          <t>TOTAL EQUITY</t>
        </is>
      </c>
      <c r="B33" s="110" t="inlineStr"/>
      <c r="C33" s="107">
        <f>SUM(C28:C32)</f>
        <v/>
      </c>
      <c r="D33" s="110" t="inlineStr"/>
    </row>
    <row r="34" ht="16" customHeight="1">
      <c r="A34" s="92" t="inlineStr"/>
      <c r="B34" s="110" t="inlineStr"/>
      <c r="C34" s="105" t="inlineStr"/>
      <c r="D34" s="110" t="inlineStr"/>
    </row>
    <row r="35" ht="16" customHeight="1">
      <c r="A35" s="109" t="inlineStr">
        <is>
          <t>NON-CURRENT LIABILITIES</t>
        </is>
      </c>
    </row>
    <row r="36" ht="16" customHeight="1">
      <c r="A36" s="92" t="inlineStr">
        <is>
          <t>Lease Liability (non-current)</t>
        </is>
      </c>
      <c r="B36" s="110" t="inlineStr"/>
      <c r="C36" s="30">
        <f>General_Ledger!F17</f>
        <v/>
      </c>
      <c r="D36" s="110" t="inlineStr">
        <is>
          <t>IFRS 16</t>
        </is>
      </c>
    </row>
    <row r="37" ht="16" customHeight="1">
      <c r="A37" s="92" t="inlineStr">
        <is>
          <t>Provision Liability</t>
        </is>
      </c>
      <c r="B37" s="110" t="inlineStr"/>
      <c r="C37" s="30">
        <f>General_Ledger!F18</f>
        <v/>
      </c>
      <c r="D37" s="110" t="inlineStr">
        <is>
          <t>IAS 37</t>
        </is>
      </c>
    </row>
    <row r="38" ht="16" customHeight="1">
      <c r="A38" s="111" t="inlineStr">
        <is>
          <t>TOTAL NON-CURRENT LIABILITIES</t>
        </is>
      </c>
      <c r="B38" s="110" t="inlineStr"/>
      <c r="C38" s="107">
        <f>C37+C38</f>
        <v/>
      </c>
      <c r="D38" s="110" t="inlineStr"/>
    </row>
    <row r="39" ht="16" customHeight="1">
      <c r="A39" s="92" t="inlineStr"/>
      <c r="B39" s="110" t="inlineStr"/>
      <c r="C39" s="105" t="inlineStr"/>
      <c r="D39" s="110" t="inlineStr"/>
    </row>
    <row r="40" ht="16" customHeight="1">
      <c r="A40" s="109" t="inlineStr">
        <is>
          <t>CURRENT LIABILITIES</t>
        </is>
      </c>
    </row>
    <row r="41" ht="16" customHeight="1">
      <c r="A41" s="92" t="inlineStr">
        <is>
          <t>Accounts Payable</t>
        </is>
      </c>
      <c r="B41" s="110" t="inlineStr"/>
      <c r="C41" s="30">
        <f>General_Ledger!F14</f>
        <v/>
      </c>
      <c r="D41" s="110" t="inlineStr">
        <is>
          <t>IAS 1</t>
        </is>
      </c>
    </row>
    <row r="42" ht="16" customHeight="1">
      <c r="A42" s="92" t="inlineStr">
        <is>
          <t>Utilities Payable</t>
        </is>
      </c>
      <c r="B42" s="110" t="inlineStr"/>
      <c r="C42" s="30">
        <f>General_Ledger!F15</f>
        <v/>
      </c>
      <c r="D42" s="110" t="inlineStr">
        <is>
          <t>IAS 1</t>
        </is>
      </c>
    </row>
    <row r="43" ht="16" customHeight="1">
      <c r="A43" s="92" t="inlineStr">
        <is>
          <t>Dividend Payable</t>
        </is>
      </c>
      <c r="B43" s="110" t="inlineStr"/>
      <c r="C43" s="30">
        <f>General_Ledger!F16</f>
        <v/>
      </c>
      <c r="D43" s="110" t="inlineStr">
        <is>
          <t>IAS 1</t>
        </is>
      </c>
    </row>
    <row r="44" ht="16" customHeight="1">
      <c r="A44" s="111" t="inlineStr">
        <is>
          <t>TOTAL CURRENT LIABILITIES</t>
        </is>
      </c>
      <c r="B44" s="110" t="inlineStr"/>
      <c r="C44" s="107">
        <f>SUM(C43:C45)</f>
        <v/>
      </c>
      <c r="D44" s="110" t="inlineStr"/>
    </row>
    <row r="45" ht="16" customHeight="1">
      <c r="A45" s="92" t="inlineStr"/>
      <c r="B45" s="110" t="inlineStr"/>
      <c r="C45" s="105" t="inlineStr"/>
      <c r="D45" s="110" t="inlineStr"/>
    </row>
    <row r="46" ht="16" customHeight="1">
      <c r="A46" s="111" t="inlineStr">
        <is>
          <t>TOTAL LIABILITIES</t>
        </is>
      </c>
      <c r="B46" s="110" t="inlineStr"/>
      <c r="C46" s="107">
        <f>C39+C46</f>
        <v/>
      </c>
      <c r="D46" s="110" t="inlineStr"/>
    </row>
    <row r="47" ht="16" customHeight="1">
      <c r="A47" s="111" t="inlineStr">
        <is>
          <t>TOTAL EQUITY AND LIABILITIES</t>
        </is>
      </c>
      <c r="B47" s="110" t="inlineStr"/>
      <c r="C47" s="107">
        <f>C33+C48</f>
        <v/>
      </c>
      <c r="D47" s="110" t="inlineStr"/>
    </row>
    <row r="48" ht="16" customHeight="1">
      <c r="A48" s="92" t="inlineStr"/>
      <c r="B48" s="110" t="inlineStr"/>
      <c r="C48" s="105" t="inlineStr"/>
      <c r="D48" s="110" t="inlineStr"/>
    </row>
    <row r="49" ht="16" customHeight="1">
      <c r="A49" s="109" t="inlineStr">
        <is>
          <t>ACCOUNTING EQUATION CHECK</t>
        </is>
      </c>
    </row>
    <row r="50" ht="16" customHeight="1">
      <c r="A50" s="112">
        <f>IF(ABS(C26-(C33+C48))&lt;1,"✔ Assets = Equity + Liabilities  — BALANCED","✘ EQUATION ERROR")</f>
        <v/>
      </c>
      <c r="B50" s="110" t="inlineStr"/>
      <c r="C50" s="105" t="inlineStr"/>
      <c r="D50" s="110" t="inlineStr"/>
    </row>
  </sheetData>
  <mergeCells count="8">
    <mergeCell ref="A1:D1"/>
    <mergeCell ref="A40:D40"/>
    <mergeCell ref="A18:D18"/>
    <mergeCell ref="A27:D27"/>
    <mergeCell ref="A35:D35"/>
    <mergeCell ref="A4:D4"/>
    <mergeCell ref="A2:D2"/>
    <mergeCell ref="A49:D49"/>
  </mergeCells>
  <pageMargins left="0.75" right="0.75" top="1" bottom="1" header="0.5" footer="0.5"/>
</worksheet>
</file>

<file path=xl/worksheets/sheet12.xml><?xml version="1.0" encoding="utf-8"?>
<worksheet xmlns="http://schemas.openxmlformats.org/spreadsheetml/2006/main">
  <sheetPr>
    <tabColor rgb="00F39C12"/>
    <outlinePr summaryBelow="1" summaryRight="1"/>
    <pageSetUpPr/>
  </sheetPr>
  <dimension ref="A1:D36"/>
  <sheetViews>
    <sheetView showGridLines="0" workbookViewId="0">
      <selection activeCell="A1" sqref="A1"/>
    </sheetView>
  </sheetViews>
  <sheetFormatPr baseColWidth="8" defaultRowHeight="15"/>
  <cols>
    <col width="40" customWidth="1" min="1" max="1"/>
    <col width="8" customWidth="1" min="2" max="2"/>
    <col width="22" customWidth="1" min="3" max="3"/>
    <col width="28" customWidth="1" min="4" max="4"/>
  </cols>
  <sheetData>
    <row r="1" ht="30" customHeight="1">
      <c r="A1" s="70" t="inlineStr">
        <is>
          <t>STATEMENT OF CASH FLOWS — Year Ended 31 December 2024</t>
        </is>
      </c>
    </row>
    <row r="2" ht="16" customHeight="1">
      <c r="A2" s="26" t="inlineStr">
        <is>
          <t>Indirect Method — IAS 7</t>
        </is>
      </c>
    </row>
    <row r="3" ht="20" customHeight="1">
      <c r="A3" s="43" t="inlineStr">
        <is>
          <t>Description</t>
        </is>
      </c>
      <c r="B3" s="43" t="inlineStr">
        <is>
          <t>Ref</t>
        </is>
      </c>
      <c r="C3" s="43" t="inlineStr">
        <is>
          <t>Amount (PKR)</t>
        </is>
      </c>
      <c r="D3" s="43" t="inlineStr">
        <is>
          <t>IAS 7 Note</t>
        </is>
      </c>
    </row>
    <row r="4" ht="17" customHeight="1">
      <c r="A4" s="109" t="inlineStr">
        <is>
          <t>OPERATING ACTIVITIES</t>
        </is>
      </c>
    </row>
    <row r="5" ht="17" customHeight="1">
      <c r="A5" s="92" t="inlineStr">
        <is>
          <t>Net Profit for the Year</t>
        </is>
      </c>
      <c r="B5" s="110" t="inlineStr">
        <is>
          <t>PL</t>
        </is>
      </c>
      <c r="C5" s="30">
        <f>Profit_Loss!C35</f>
        <v/>
      </c>
      <c r="D5" s="110" t="inlineStr">
        <is>
          <t>Start: Net Profit</t>
        </is>
      </c>
    </row>
    <row r="6" ht="17" customHeight="1">
      <c r="A6" s="92" t="inlineStr">
        <is>
          <t>Add: Depreciation (non-cash)</t>
        </is>
      </c>
      <c r="B6" s="110" t="inlineStr">
        <is>
          <t>T31</t>
        </is>
      </c>
      <c r="C6" s="30">
        <f>ABS(General_Ledger!F32)</f>
        <v/>
      </c>
      <c r="D6" s="110" t="inlineStr">
        <is>
          <t>Non-cash add-back</t>
        </is>
      </c>
    </row>
    <row r="7" ht="17" customHeight="1">
      <c r="A7" s="92" t="inlineStr">
        <is>
          <t>Add: Amortisation (non-cash)</t>
        </is>
      </c>
      <c r="B7" s="110" t="inlineStr">
        <is>
          <t>T25</t>
        </is>
      </c>
      <c r="C7" s="30">
        <f>ABS(General_Ledger!F33)</f>
        <v/>
      </c>
      <c r="D7" s="110" t="inlineStr">
        <is>
          <t>Non-cash add-back</t>
        </is>
      </c>
    </row>
    <row r="8" ht="17" customHeight="1">
      <c r="A8" s="92" t="inlineStr">
        <is>
          <t>Add: Impairment (non-cash)</t>
        </is>
      </c>
      <c r="B8" s="110" t="inlineStr">
        <is>
          <t>T24</t>
        </is>
      </c>
      <c r="C8" s="30">
        <f>ABS(General_Ledger!F34)</f>
        <v/>
      </c>
      <c r="D8" s="110" t="inlineStr">
        <is>
          <t>Non-cash add-back</t>
        </is>
      </c>
    </row>
    <row r="9" ht="17" customHeight="1">
      <c r="A9" s="92" t="inlineStr">
        <is>
          <t>Add: Bad Debt (non-cash)</t>
        </is>
      </c>
      <c r="B9" s="110" t="inlineStr">
        <is>
          <t>T15</t>
        </is>
      </c>
      <c r="C9" s="30">
        <f>ABS(General_Ledger!F30)</f>
        <v/>
      </c>
      <c r="D9" s="110" t="inlineStr">
        <is>
          <t>Non-cash add-back</t>
        </is>
      </c>
    </row>
    <row r="10" ht="17" customHeight="1">
      <c r="A10" s="92" t="inlineStr">
        <is>
          <t>Working Capital Changes:</t>
        </is>
      </c>
      <c r="B10" s="110" t="inlineStr"/>
      <c r="C10" s="79" t="inlineStr"/>
      <c r="D10" s="110" t="inlineStr"/>
    </row>
    <row r="11" ht="17" customHeight="1">
      <c r="A11" s="92" t="inlineStr">
        <is>
          <t>(Inc)/Dec in Receivables</t>
        </is>
      </c>
      <c r="B11" s="110" t="inlineStr"/>
      <c r="C11" s="30">
        <f>-General_Ledger!F4</f>
        <v/>
      </c>
      <c r="D11" s="110" t="inlineStr">
        <is>
          <t>Current asset Δ</t>
        </is>
      </c>
    </row>
    <row r="12" ht="17" customHeight="1">
      <c r="A12" s="92" t="inlineStr">
        <is>
          <t>(Inc)/Dec in Inventories</t>
        </is>
      </c>
      <c r="B12" s="110" t="inlineStr"/>
      <c r="C12" s="30">
        <f>-General_Ledger!F5</f>
        <v/>
      </c>
      <c r="D12" s="110" t="inlineStr">
        <is>
          <t>Current asset Δ</t>
        </is>
      </c>
    </row>
    <row r="13" ht="17" customHeight="1">
      <c r="A13" s="92" t="inlineStr">
        <is>
          <t>(Inc)/Dec in Prepayments</t>
        </is>
      </c>
      <c r="B13" s="110" t="inlineStr"/>
      <c r="C13" s="30">
        <f>-General_Ledger!F6</f>
        <v/>
      </c>
      <c r="D13" s="110" t="inlineStr">
        <is>
          <t>Current asset Δ</t>
        </is>
      </c>
    </row>
    <row r="14" ht="17" customHeight="1">
      <c r="A14" s="92" t="inlineStr">
        <is>
          <t>Inc/(Dec) in Payables</t>
        </is>
      </c>
      <c r="B14" s="110" t="inlineStr"/>
      <c r="C14" s="30">
        <f>General_Ledger!F14</f>
        <v/>
      </c>
      <c r="D14" s="110" t="inlineStr">
        <is>
          <t>Current liability Δ</t>
        </is>
      </c>
    </row>
    <row r="15" ht="17" customHeight="1">
      <c r="A15" s="92" t="inlineStr">
        <is>
          <t>Inc/(Dec) in Utilities Payable</t>
        </is>
      </c>
      <c r="B15" s="110" t="inlineStr"/>
      <c r="C15" s="30">
        <f>General_Ledger!F15</f>
        <v/>
      </c>
      <c r="D15" s="110" t="inlineStr">
        <is>
          <t>Current liability Δ</t>
        </is>
      </c>
    </row>
    <row r="16" ht="17" customHeight="1">
      <c r="A16" s="111" t="inlineStr">
        <is>
          <t>NET CASH FROM OPERATING ACTIVITIES</t>
        </is>
      </c>
      <c r="B16" s="110" t="inlineStr"/>
      <c r="C16" s="107">
        <f>SUM(C5:C16)</f>
        <v/>
      </c>
      <c r="D16" s="110" t="inlineStr"/>
    </row>
    <row r="17" ht="17" customHeight="1">
      <c r="A17" s="92" t="inlineStr"/>
      <c r="B17" s="110" t="inlineStr"/>
      <c r="C17" s="79" t="inlineStr"/>
      <c r="D17" s="110" t="inlineStr"/>
    </row>
    <row r="18" ht="17" customHeight="1">
      <c r="A18" s="109" t="inlineStr">
        <is>
          <t>INVESTING ACTIVITIES</t>
        </is>
      </c>
    </row>
    <row r="19" ht="17" customHeight="1">
      <c r="A19" s="92" t="inlineStr">
        <is>
          <t>Purchase of Machinery</t>
        </is>
      </c>
      <c r="B19" s="110" t="inlineStr">
        <is>
          <t>T03</t>
        </is>
      </c>
      <c r="C19" s="30">
        <f>-Variable_Matrix!C6</f>
        <v/>
      </c>
      <c r="D19" s="110" t="inlineStr">
        <is>
          <t>IAS 7</t>
        </is>
      </c>
    </row>
    <row r="20" ht="17" customHeight="1">
      <c r="A20" s="92" t="inlineStr">
        <is>
          <t>Purchase of Land</t>
        </is>
      </c>
      <c r="B20" s="110" t="inlineStr">
        <is>
          <t>T04</t>
        </is>
      </c>
      <c r="C20" s="30">
        <f>-Variable_Matrix!C15</f>
        <v/>
      </c>
      <c r="D20" s="110" t="inlineStr">
        <is>
          <t>IAS 7</t>
        </is>
      </c>
    </row>
    <row r="21" ht="17" customHeight="1">
      <c r="A21" s="92" t="inlineStr">
        <is>
          <t>Development Costs Capitalised</t>
        </is>
      </c>
      <c r="B21" s="110" t="inlineStr">
        <is>
          <t>T17</t>
        </is>
      </c>
      <c r="C21" s="30">
        <f>-Variable_Matrix!C12</f>
        <v/>
      </c>
      <c r="D21" s="110" t="inlineStr">
        <is>
          <t>IAS 38</t>
        </is>
      </c>
    </row>
    <row r="22" ht="17" customHeight="1">
      <c r="A22" s="111" t="inlineStr">
        <is>
          <t>NET CASH USED IN INVESTING</t>
        </is>
      </c>
      <c r="B22" s="110" t="inlineStr"/>
      <c r="C22" s="107">
        <f>SUM(C20:C22)</f>
        <v/>
      </c>
      <c r="D22" s="110" t="inlineStr"/>
    </row>
    <row r="23" ht="17" customHeight="1">
      <c r="A23" s="92" t="inlineStr"/>
      <c r="B23" s="110" t="inlineStr"/>
      <c r="C23" s="79" t="inlineStr"/>
      <c r="D23" s="110" t="inlineStr"/>
    </row>
    <row r="24" ht="17" customHeight="1">
      <c r="A24" s="109" t="inlineStr">
        <is>
          <t>FINANCING ACTIVITIES</t>
        </is>
      </c>
    </row>
    <row r="25" ht="17" customHeight="1">
      <c r="A25" s="92" t="inlineStr">
        <is>
          <t>Proceeds — Share Issuance</t>
        </is>
      </c>
      <c r="B25" s="110" t="inlineStr">
        <is>
          <t>T01</t>
        </is>
      </c>
      <c r="C25" s="30">
        <f>Variable_Matrix!C3*Variable_Matrix!C4</f>
        <v/>
      </c>
      <c r="D25" s="110" t="inlineStr">
        <is>
          <t>IAS 7</t>
        </is>
      </c>
    </row>
    <row r="26" ht="17" customHeight="1">
      <c r="A26" s="92" t="inlineStr">
        <is>
          <t>Proceeds — Private Placement</t>
        </is>
      </c>
      <c r="B26" s="110" t="inlineStr">
        <is>
          <t>T30</t>
        </is>
      </c>
      <c r="C26" s="30">
        <f>1650000</f>
        <v/>
      </c>
      <c r="D26" s="110" t="inlineStr">
        <is>
          <t>IAS 7</t>
        </is>
      </c>
    </row>
    <row r="27" ht="17" customHeight="1">
      <c r="A27" s="92" t="inlineStr">
        <is>
          <t>Treasury Share Buyback</t>
        </is>
      </c>
      <c r="B27" s="110" t="inlineStr">
        <is>
          <t>T26</t>
        </is>
      </c>
      <c r="C27" s="30">
        <f>-300000</f>
        <v/>
      </c>
      <c r="D27" s="110" t="inlineStr">
        <is>
          <t>IAS 7</t>
        </is>
      </c>
    </row>
    <row r="28" ht="17" customHeight="1">
      <c r="A28" s="92" t="inlineStr">
        <is>
          <t>Dividends Paid</t>
        </is>
      </c>
      <c r="B28" s="110" t="inlineStr">
        <is>
          <t>T28</t>
        </is>
      </c>
      <c r="C28" s="30">
        <f>-810000</f>
        <v/>
      </c>
      <c r="D28" s="110" t="inlineStr">
        <is>
          <t>IAS 7</t>
        </is>
      </c>
    </row>
    <row r="29" ht="17" customHeight="1">
      <c r="A29" s="92" t="inlineStr">
        <is>
          <t>Lease Payment — Principal</t>
        </is>
      </c>
      <c r="B29" s="110" t="inlineStr">
        <is>
          <t>T18</t>
        </is>
      </c>
      <c r="C29" s="30">
        <f>-Lease_Module!E8</f>
        <v/>
      </c>
      <c r="D29" s="110" t="inlineStr">
        <is>
          <t>IFRS 16</t>
        </is>
      </c>
    </row>
    <row r="30" ht="17" customHeight="1">
      <c r="A30" s="111" t="inlineStr">
        <is>
          <t>NET CASH FROM FINANCING</t>
        </is>
      </c>
      <c r="B30" s="110" t="inlineStr"/>
      <c r="C30" s="107">
        <f>SUM(C25:C29)</f>
        <v/>
      </c>
      <c r="D30" s="110" t="inlineStr"/>
    </row>
    <row r="31" ht="17" customHeight="1">
      <c r="A31" s="92" t="inlineStr"/>
      <c r="B31" s="110" t="inlineStr"/>
      <c r="C31" s="79" t="inlineStr"/>
      <c r="D31" s="110" t="inlineStr"/>
    </row>
    <row r="32" ht="17" customHeight="1">
      <c r="A32" s="111" t="inlineStr">
        <is>
          <t>NET INC/(DEC) IN CASH</t>
        </is>
      </c>
      <c r="B32" s="110" t="inlineStr"/>
      <c r="C32" s="107">
        <f>C17+C23+C30</f>
        <v/>
      </c>
      <c r="D32" s="110" t="inlineStr"/>
    </row>
    <row r="33" ht="17" customHeight="1">
      <c r="A33" s="92" t="inlineStr">
        <is>
          <t>Opening Cash Balance</t>
        </is>
      </c>
      <c r="B33" s="110" t="inlineStr"/>
      <c r="C33" s="30">
        <f>0</f>
        <v/>
      </c>
      <c r="D33" s="110" t="inlineStr"/>
    </row>
    <row r="34" ht="17" customHeight="1">
      <c r="A34" s="111" t="inlineStr">
        <is>
          <t>CLOSING CASH BALANCE</t>
        </is>
      </c>
      <c r="B34" s="110" t="inlineStr"/>
      <c r="C34" s="107">
        <f>C32+C33</f>
        <v/>
      </c>
      <c r="D34" s="110" t="inlineStr"/>
    </row>
    <row r="35" ht="17" customHeight="1">
      <c r="A35" s="92" t="inlineStr">
        <is>
          <t>GL Cash Verification</t>
        </is>
      </c>
      <c r="B35" s="110" t="inlineStr"/>
      <c r="C35" s="30">
        <f>IF(ABS(C34-General_Ledger!F3)&lt;1,"✔ MATCHES GL","✘ DISCREPANCY")</f>
        <v/>
      </c>
      <c r="D35" s="110" t="inlineStr"/>
    </row>
    <row r="36">
      <c r="A36" s="113" t="n"/>
    </row>
  </sheetData>
  <mergeCells count="5">
    <mergeCell ref="A1:D1"/>
    <mergeCell ref="A18:D18"/>
    <mergeCell ref="A4:D4"/>
    <mergeCell ref="A24:D24"/>
    <mergeCell ref="A2:D2"/>
  </mergeCells>
  <pageMargins left="0.75" right="0.75" top="1" bottom="1" header="0.5" footer="0.5"/>
</worksheet>
</file>

<file path=xl/worksheets/sheet13.xml><?xml version="1.0" encoding="utf-8"?>
<worksheet xmlns="http://schemas.openxmlformats.org/spreadsheetml/2006/main">
  <sheetPr>
    <tabColor rgb="007F8C8D"/>
    <outlinePr summaryBelow="1" summaryRight="1"/>
    <pageSetUpPr/>
  </sheetPr>
  <dimension ref="A1:B24"/>
  <sheetViews>
    <sheetView showGridLines="0" workbookViewId="0">
      <selection activeCell="A1" sqref="A1"/>
    </sheetView>
  </sheetViews>
  <sheetFormatPr baseColWidth="8" defaultRowHeight="15"/>
  <cols>
    <col width="90" customWidth="1" min="1" max="1"/>
    <col width="20" customWidth="1" min="2" max="2"/>
  </cols>
  <sheetData>
    <row r="1" ht="30" customHeight="1">
      <c r="A1" s="70" t="inlineStr">
        <is>
          <t>NOTES TO THE FINANCIAL STATEMENTS — Group 8 | FY 2024</t>
        </is>
      </c>
    </row>
    <row r="2" ht="24" customHeight="1">
      <c r="A2" s="114" t="inlineStr">
        <is>
          <t>NOTE 1 — BASIS OF PREPARATION (IAS 1)</t>
        </is>
      </c>
    </row>
    <row r="3" ht="48" customHeight="1">
      <c r="A3" s="115" t="inlineStr">
        <is>
          <t>These financial statements have been prepared in accordance with International Financial Reporting Standards (IFRS) as issued by the IASB. Standards applied include IAS 1 (Revised), IAS 2 (Inventories), IAS 7 (Cash Flows), IAS 16 (PPE), IAS 36 (Impairment), IAS 37 (Provisions), IAS 38 (Intangibles), IAS 32 (Financial Instruments — Equity), and IFRS 16 (Leases). Amounts are stated in Pakistani Rupees (PKR).</t>
        </is>
      </c>
    </row>
    <row r="4" ht="24" customHeight="1">
      <c r="A4" s="115" t="inlineStr"/>
    </row>
    <row r="5" ht="24" customHeight="1">
      <c r="A5" s="114" t="inlineStr">
        <is>
          <t>NOTE 2 — CONTINGENT LIABILITY (IAS 37 / T22)</t>
        </is>
      </c>
    </row>
    <row r="6" ht="48" customHeight="1">
      <c r="A6" s="115" t="inlineStr">
        <is>
          <t>A third-party legal claim exists for which the company cannot make a reliable estimate of the outflow. No provision has been recognised. In accordance with IAS 37.86, this is disclosed as a contingent liability. The claim is assessed as possible but not probable. Legal counsel is reviewing the matter.</t>
        </is>
      </c>
    </row>
    <row r="7" ht="24" customHeight="1">
      <c r="A7" s="115" t="inlineStr"/>
    </row>
    <row r="8" ht="24" customHeight="1">
      <c r="A8" s="114" t="inlineStr">
        <is>
          <t>NOTE 3 — IMPAIRMENT OF MACHINERY (IAS 36 / T23–T24)</t>
        </is>
      </c>
    </row>
    <row r="9" ht="48" customHeight="1">
      <c r="A9" s="115" t="inlineStr">
        <is>
          <t>An impairment indicator (technological obsolescence) was identified. An impairment test compared the Carrying Amount of PKR 19,666,667 (Cost PKR 20,000,000 less Depreciation PKR 333,333) against Recoverable Amount PKR 18,000,000 (higher of Fair Value Less Costs of Disposal and Value in Use). Impairment loss of PKR 2,000,000 was recognised in profit or loss.</t>
        </is>
      </c>
    </row>
    <row r="10" ht="24" customHeight="1">
      <c r="A10" s="115" t="inlineStr"/>
    </row>
    <row r="11" ht="24" customHeight="1">
      <c r="A11" s="114" t="inlineStr">
        <is>
          <t>NOTE 4 — LEASE (IFRS 16 / T18–T20)</t>
        </is>
      </c>
    </row>
    <row r="12" ht="48" customHeight="1">
      <c r="A12" s="115" t="inlineStr">
        <is>
          <t>The company entered a 5-year lease with annual payments of PKR 450,000. Under IFRS 16, a right-of-use asset and lease liability were recognised at PV = PKR 1,597,065, calculated as =PV(13%,5,-450,000). Interest at 13% is accreted annually. Year 1 interest = PKR 207,619. Principal repayment = PKR 242,381.</t>
        </is>
      </c>
    </row>
    <row r="13" ht="24" customHeight="1">
      <c r="A13" s="115" t="inlineStr"/>
    </row>
    <row r="14" ht="24" customHeight="1">
      <c r="A14" s="114" t="inlineStr">
        <is>
          <t>NOTE 5 — INTANGIBLE ASSETS (IAS 38 / T16–T17 / T25)</t>
        </is>
      </c>
    </row>
    <row r="15" ht="48" customHeight="1">
      <c r="A15" s="115" t="inlineStr">
        <is>
          <t>Research expenditure of PKR 75,000 was expensed as incurred (IAS 38.54 — does not qualify for capitalisation). Development costs of PKR 220,000 met all six IAS 38.57 criteria and were capitalised as an intangible asset. Amortisation is over 10 years on a straight-line basis (annual PKR 22,000; monthly PKR 1,833).</t>
        </is>
      </c>
    </row>
    <row r="16" ht="24" customHeight="1">
      <c r="A16" s="115" t="inlineStr"/>
    </row>
    <row r="17" ht="24" customHeight="1">
      <c r="A17" s="114" t="inlineStr">
        <is>
          <t>NOTE 6 — EQUITY TRANSACTIONS (IAS 1 / IAS 32)</t>
        </is>
      </c>
    </row>
    <row r="18" ht="48" customHeight="1">
      <c r="A18" s="115" t="inlineStr">
        <is>
          <t>Share issuance: 550,000 shares @ PKR 28. Share Capital (par PKR 10) = PKR 5,500,000. Share Premium = PKR 9,900,000. Bonus issue of PKR 275,000 capitalised from Retained Earnings. Private Placement: PKR 1,650,000 (Share Capital PKR 500,000 + Share Premium PKR 1,150,000). Treasury shares of PKR 300,000 deducted from equity at cost per IAS 32.33.</t>
        </is>
      </c>
    </row>
    <row r="19" ht="24" customHeight="1">
      <c r="A19" s="115" t="inlineStr"/>
    </row>
    <row r="20" ht="24" customHeight="1">
      <c r="A20" s="114" t="inlineStr">
        <is>
          <t>NOTE 7 — INVENTORY (IAS 2 / T06–T13)</t>
        </is>
      </c>
    </row>
    <row r="21" ht="48" customHeight="1">
      <c r="A21" s="115" t="inlineStr">
        <is>
          <t>Inventories are measured using the FIFO cost formula. Cost includes purchase price and directly attributable costs. Closing inventory is measured at the lower of cost and NRV. NRV write-down of PKR 1,000 was recognised in profit or loss (T13). Batch 1: 100 units @ PKR 1,000; Batch 2: 60 units @ PKR 1,000.</t>
        </is>
      </c>
    </row>
    <row r="22" ht="24" customHeight="1">
      <c r="A22" s="115" t="inlineStr"/>
    </row>
    <row r="23" ht="24" customHeight="1">
      <c r="A23" s="114" t="inlineStr">
        <is>
          <t>NOTE 8 — PROVISIONS (IAS 37 / T21)</t>
        </is>
      </c>
    </row>
    <row r="24" ht="48" customHeight="1">
      <c r="A24" s="115" t="inlineStr">
        <is>
          <t>A provision of PKR 300,000 was recognised for a probable legal obligation arising from a third-party claim where a reliable estimate was available. The provision represents management's best estimate of the expenditure required to settle the present obligation at the reporting date.</t>
        </is>
      </c>
    </row>
  </sheetData>
  <mergeCells count="24">
    <mergeCell ref="A24:B24"/>
    <mergeCell ref="A15:B15"/>
    <mergeCell ref="A11:B11"/>
    <mergeCell ref="A1:B1"/>
    <mergeCell ref="A6:B6"/>
    <mergeCell ref="A16:B16"/>
    <mergeCell ref="A7:B7"/>
    <mergeCell ref="A18:B18"/>
    <mergeCell ref="A3:B3"/>
    <mergeCell ref="A12:B12"/>
    <mergeCell ref="A21:B21"/>
    <mergeCell ref="A2:B2"/>
    <mergeCell ref="A5:B5"/>
    <mergeCell ref="A14:B14"/>
    <mergeCell ref="A17:B17"/>
    <mergeCell ref="A23:B23"/>
    <mergeCell ref="A8:B8"/>
    <mergeCell ref="A22:B22"/>
    <mergeCell ref="A4:B4"/>
    <mergeCell ref="A20:B20"/>
    <mergeCell ref="A19:B19"/>
    <mergeCell ref="A10:B10"/>
    <mergeCell ref="A13:B13"/>
    <mergeCell ref="A9:B9"/>
  </mergeCells>
  <pageMargins left="0.75" right="0.75" top="1" bottom="1" header="0.5" footer="0.5"/>
</worksheet>
</file>

<file path=xl/worksheets/sheet14.xml><?xml version="1.0" encoding="utf-8"?>
<worksheet xmlns="http://schemas.openxmlformats.org/spreadsheetml/2006/main">
  <sheetPr>
    <tabColor rgb="000D1B2A"/>
    <outlinePr summaryBelow="1" summaryRight="1"/>
    <pageSetUpPr/>
  </sheetPr>
  <dimension ref="A1:D12"/>
  <sheetViews>
    <sheetView showGridLines="0" workbookViewId="0">
      <selection activeCell="A1" sqref="A1"/>
    </sheetView>
  </sheetViews>
  <sheetFormatPr baseColWidth="8" defaultRowHeight="15"/>
  <cols>
    <col width="6" customWidth="1" min="1" max="1"/>
    <col width="44" customWidth="1" min="2" max="2"/>
    <col width="54" customWidth="1" min="3" max="3"/>
    <col width="22" customWidth="1" min="4" max="4"/>
  </cols>
  <sheetData>
    <row r="1" ht="30" customHeight="1">
      <c r="A1" s="70" t="inlineStr">
        <is>
          <t>AI PROMPT LOG — IFRS Accounting Engine Build Record</t>
        </is>
      </c>
    </row>
    <row r="2" ht="20" customHeight="1">
      <c r="A2" s="43" t="inlineStr">
        <is>
          <t>Step</t>
        </is>
      </c>
      <c r="B2" s="43" t="inlineStr">
        <is>
          <t>Prompt Summary</t>
        </is>
      </c>
      <c r="C2" s="43" t="inlineStr">
        <is>
          <t>AI Output Summary</t>
        </is>
      </c>
      <c r="D2" s="43" t="inlineStr">
        <is>
          <t>Standards Used</t>
        </is>
      </c>
    </row>
    <row r="3" ht="22" customHeight="1">
      <c r="A3" s="116" t="n">
        <v>1</v>
      </c>
      <c r="B3" s="116" t="inlineStr">
        <is>
          <t>Build 35-transaction IFRS journal with Group 8 variables (expanded Dr/Cr rows)</t>
        </is>
      </c>
      <c r="C3" s="116" t="inlineStr">
        <is>
          <t>Generated expanded debit/credit entries T01-T35 with D/C flag column for SUMPRODUCT</t>
        </is>
      </c>
      <c r="D3" s="116" t="inlineStr">
        <is>
          <t>Multiple</t>
        </is>
      </c>
    </row>
    <row r="4" ht="22" customHeight="1">
      <c r="A4" s="117" t="n">
        <v>2</v>
      </c>
      <c r="B4" s="117" t="inlineStr">
        <is>
          <t>Create FIFO inventory engine under IAS 2</t>
        </is>
      </c>
      <c r="C4" s="117" t="inlineStr">
        <is>
          <t>Batch costing engine, NRV write-down test, COGS and closing inventory formulas</t>
        </is>
      </c>
      <c r="D4" s="117" t="inlineStr">
        <is>
          <t>IAS 2</t>
        </is>
      </c>
    </row>
    <row r="5" ht="22" customHeight="1">
      <c r="A5" s="116" t="n">
        <v>3</v>
      </c>
      <c r="B5" s="116" t="inlineStr">
        <is>
          <t>Build IFRS 16 lease amortisation table</t>
        </is>
      </c>
      <c r="C5" s="116" t="inlineStr">
        <is>
          <t>PV =PV(13%,5,-450000), 5-year interest/principal split schedule</t>
        </is>
      </c>
      <c r="D5" s="116" t="inlineStr">
        <is>
          <t>IFRS 16</t>
        </is>
      </c>
    </row>
    <row r="6" ht="22" customHeight="1">
      <c r="A6" s="117" t="n">
        <v>4</v>
      </c>
      <c r="B6" s="117" t="inlineStr">
        <is>
          <t>IAS 16 depreciation and IAS 36 impairment module</t>
        </is>
      </c>
      <c r="C6" s="117" t="inlineStr">
        <is>
          <t>SL depreciation 60yr; impairment test: CA vs Recoverable Amount → PKR 2M loss</t>
        </is>
      </c>
      <c r="D6" s="117" t="inlineStr">
        <is>
          <t>IAS 16/36</t>
        </is>
      </c>
    </row>
    <row r="7" ht="22" customHeight="1">
      <c r="A7" s="116" t="n">
        <v>5</v>
      </c>
      <c r="B7" s="116" t="inlineStr">
        <is>
          <t>IAS 38 research vs development split</t>
        </is>
      </c>
      <c r="C7" s="116" t="inlineStr">
        <is>
          <t>Research PKR 75k expensed; Dev PKR 220k capitalised, amortised 10yr SL</t>
        </is>
      </c>
      <c r="D7" s="116" t="inlineStr">
        <is>
          <t>IAS 38</t>
        </is>
      </c>
    </row>
    <row r="8" ht="22" customHeight="1">
      <c r="A8" s="117" t="n">
        <v>6</v>
      </c>
      <c r="B8" s="117" t="inlineStr">
        <is>
          <t>General Ledger via SUMPRODUCT from Journal</t>
        </is>
      </c>
      <c r="C8" s="117" t="inlineStr">
        <is>
          <t>Used SUMPRODUCT with D/C flag to auto-post debits and credits to ledger</t>
        </is>
      </c>
      <c r="D8" s="117" t="inlineStr">
        <is>
          <t>All</t>
        </is>
      </c>
    </row>
    <row r="9" ht="22" customHeight="1">
      <c r="A9" s="116" t="n">
        <v>7</v>
      </c>
      <c r="B9" s="116" t="inlineStr">
        <is>
          <t>Link GL to Trial Balance and all Financial Statements</t>
        </is>
      </c>
      <c r="C9" s="116" t="inlineStr">
        <is>
          <t>Cross-sheet formulas: GL→TB→P&amp;L→SOFP→SCE→CF all auto-update</t>
        </is>
      </c>
      <c r="D9" s="116" t="inlineStr">
        <is>
          <t>IAS 1</t>
        </is>
      </c>
    </row>
    <row r="10" ht="22" customHeight="1">
      <c r="A10" s="117" t="n">
        <v>8</v>
      </c>
      <c r="B10" s="117" t="inlineStr">
        <is>
          <t>Dashboard KPI cards and financial summaries</t>
        </is>
      </c>
      <c r="C10" s="117" t="inlineStr">
        <is>
          <t>Live KPIs: Cash, Net Profit, Total Assets, Equity, Current Ratio, Debt Ratio</t>
        </is>
      </c>
      <c r="D10" s="117" t="inlineStr">
        <is>
          <t>IAS 1</t>
        </is>
      </c>
    </row>
    <row r="11" ht="22" customHeight="1">
      <c r="A11" s="116" t="n">
        <v>9</v>
      </c>
      <c r="B11" s="116" t="inlineStr">
        <is>
          <t>Cash Flow — Indirect Method</t>
        </is>
      </c>
      <c r="C11" s="116" t="inlineStr">
        <is>
          <t>Net profit → non-cash add-backs → WC changes → investing → financing</t>
        </is>
      </c>
      <c r="D11" s="116" t="inlineStr">
        <is>
          <t>IAS 7</t>
        </is>
      </c>
    </row>
    <row r="12" ht="22" customHeight="1">
      <c r="A12" s="117" t="n">
        <v>10</v>
      </c>
      <c r="B12" s="117" t="inlineStr">
        <is>
          <t>Accounting equation validation and balance checks</t>
        </is>
      </c>
      <c r="C12" s="117">
        <f>IF(ABS(Assets-(E+L))&lt;1,'BALANCED','ERROR') on Dashboard and SOFP</f>
        <v/>
      </c>
      <c r="D12" s="117" t="inlineStr">
        <is>
          <t>IAS 1</t>
        </is>
      </c>
    </row>
  </sheetData>
  <mergeCells count="1">
    <mergeCell ref="A1:D1"/>
  </mergeCells>
  <pageMargins left="0.75" right="0.75" top="1" bottom="1" header="0.5" footer="0.5"/>
</worksheet>
</file>

<file path=xl/worksheets/sheet15.xml><?xml version="1.0" encoding="utf-8"?>
<worksheet xmlns="http://schemas.openxmlformats.org/spreadsheetml/2006/main">
  <sheetPr>
    <tabColor rgb="00C0392B"/>
    <outlinePr summaryBelow="1" summaryRight="1"/>
    <pageSetUpPr/>
  </sheetPr>
  <dimension ref="A1:D12"/>
  <sheetViews>
    <sheetView showGridLines="0" workbookViewId="0">
      <selection activeCell="A1" sqref="A1"/>
    </sheetView>
  </sheetViews>
  <sheetFormatPr baseColWidth="8" defaultRowHeight="15"/>
  <cols>
    <col width="30" customWidth="1" min="1" max="1"/>
    <col width="34" customWidth="1" min="2" max="2"/>
    <col width="20" customWidth="1" min="3" max="3"/>
    <col width="28" customWidth="1" min="4" max="4"/>
  </cols>
  <sheetData>
    <row r="1" ht="30" customHeight="1">
      <c r="A1" s="70" t="inlineStr">
        <is>
          <t>TRANSACTION INPUT FORM — Add New Entries</t>
        </is>
      </c>
    </row>
    <row r="2" ht="36" customHeight="1">
      <c r="A2" s="118" t="inlineStr">
        <is>
          <t>Instructions: Fill in the yellow cells below. Then copy the row and paste into the Journal sheet (row after last transaction). The ledger, TB, and all statements update automatically via SUMPRODUCT formulas.</t>
        </is>
      </c>
    </row>
    <row r="4">
      <c r="A4" s="119" t="inlineStr">
        <is>
          <t>Date (YYYY-MM-DD):</t>
        </is>
      </c>
      <c r="B4" s="120" t="inlineStr">
        <is>
          <t>2024-01-01</t>
        </is>
      </c>
      <c r="C4" s="85" t="inlineStr">
        <is>
          <t>Format: 2024-MM-DD</t>
        </is>
      </c>
    </row>
    <row r="5">
      <c r="A5" s="119" t="inlineStr">
        <is>
          <t>Transaction ID:</t>
        </is>
      </c>
      <c r="B5" s="120" t="inlineStr">
        <is>
          <t>T36</t>
        </is>
      </c>
      <c r="C5" s="85" t="inlineStr">
        <is>
          <t>Unique ID e.g. T36, T37</t>
        </is>
      </c>
    </row>
    <row r="6">
      <c r="A6" s="119" t="inlineStr">
        <is>
          <t>Description:</t>
        </is>
      </c>
      <c r="B6" s="120" t="inlineStr">
        <is>
          <t>Enter here</t>
        </is>
      </c>
      <c r="C6" s="85" t="inlineStr">
        <is>
          <t>Brief description of transaction</t>
        </is>
      </c>
    </row>
    <row r="7">
      <c r="A7" s="119" t="inlineStr">
        <is>
          <t>Account:</t>
        </is>
      </c>
      <c r="B7" s="120" t="inlineStr">
        <is>
          <t>Cash</t>
        </is>
      </c>
      <c r="C7" s="85" t="inlineStr">
        <is>
          <t>Debit or Credit account name — must match GL</t>
        </is>
      </c>
    </row>
    <row r="8">
      <c r="A8" s="119" t="inlineStr">
        <is>
          <t>Dr / Cr:</t>
        </is>
      </c>
      <c r="B8" s="120" t="inlineStr">
        <is>
          <t>Dr</t>
        </is>
      </c>
      <c r="C8" s="85" t="inlineStr">
        <is>
          <t>Type 'Dr' for debit or 'Cr' for credit</t>
        </is>
      </c>
    </row>
    <row r="9">
      <c r="A9" s="119" t="inlineStr">
        <is>
          <t>Amount (PKR):</t>
        </is>
      </c>
      <c r="B9" s="121" t="n">
        <v>0</v>
      </c>
      <c r="C9" s="85" t="inlineStr">
        <is>
          <t>Positive number only</t>
        </is>
      </c>
    </row>
    <row r="10">
      <c r="A10" s="119" t="inlineStr">
        <is>
          <t>IFRS Reference:</t>
        </is>
      </c>
      <c r="B10" s="120" t="inlineStr">
        <is>
          <t>IAS 1</t>
        </is>
      </c>
      <c r="C10" s="85" t="inlineStr">
        <is>
          <t>e.g. IAS 1, IAS 2, IFRS 16</t>
        </is>
      </c>
    </row>
    <row r="11">
      <c r="A11" s="119" t="inlineStr">
        <is>
          <t>Category:</t>
        </is>
      </c>
      <c r="B11" s="120" t="inlineStr">
        <is>
          <t>Operating</t>
        </is>
      </c>
      <c r="C11" s="85" t="inlineStr">
        <is>
          <t>Operating / Investing / Financing / Equity / OCI</t>
        </is>
      </c>
    </row>
    <row r="12">
      <c r="A12" s="119" t="inlineStr">
        <is>
          <t>D/C Flag (1=Dr, -1=Cr, 0=Memo):</t>
        </is>
      </c>
      <c r="B12" s="121" t="n">
        <v>1</v>
      </c>
      <c r="C12" s="85" t="inlineStr">
        <is>
          <t>1 for Dr, -1 for Cr, 0 for memo entries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2026-05-08T17:29:20Z</dcterms:created>
  <dcterms:modified xmlns:dcterms="http://purl.org/dc/terms/" xmlns:xsi="http://www.w3.org/2001/XMLSchema-instance" xsi:type="dcterms:W3CDTF">2026-05-08T17:29:21Z</dcterms:modified>
</cp:coreProperties>
</file>